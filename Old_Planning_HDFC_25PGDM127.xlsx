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esktop\CIP OFFICE\"/>
    </mc:Choice>
  </mc:AlternateContent>
  <xr:revisionPtr revIDLastSave="0" documentId="13_ncr:1_{D7DA8782-40D6-4EF2-9DB4-5A6103C32926}" xr6:coauthVersionLast="47" xr6:coauthVersionMax="47" xr10:uidLastSave="{00000000-0000-0000-0000-000000000000}"/>
  <bookViews>
    <workbookView xWindow="-108" yWindow="-108" windowWidth="23256" windowHeight="12456" tabRatio="500" firstSheet="1" activeTab="2" xr2:uid="{00000000-000D-0000-FFFF-FFFF00000000}"/>
  </bookViews>
  <sheets>
    <sheet name="DATA FOR INSTAGRAM" sheetId="1" r:id="rId1"/>
    <sheet name="PLANNER_INSTAGRAM" sheetId="7" r:id="rId2"/>
    <sheet name="DATA FOR FACEBOOK" sheetId="8" r:id="rId3"/>
    <sheet name="📋 All Companies Data" sheetId="2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101" i="8" l="1"/>
  <c r="M101" i="8"/>
  <c r="N100" i="8"/>
  <c r="M100" i="8"/>
  <c r="N99" i="8"/>
  <c r="M99" i="8"/>
  <c r="N98" i="8"/>
  <c r="M98" i="8"/>
  <c r="N97" i="8"/>
  <c r="M97" i="8"/>
  <c r="N96" i="8"/>
  <c r="M96" i="8"/>
  <c r="N95" i="8"/>
  <c r="M95" i="8"/>
  <c r="N94" i="8"/>
  <c r="M94" i="8"/>
  <c r="N93" i="8"/>
  <c r="M93" i="8"/>
  <c r="N92" i="8"/>
  <c r="M92" i="8"/>
  <c r="N91" i="8"/>
  <c r="M91" i="8"/>
  <c r="N90" i="8"/>
  <c r="M90" i="8"/>
  <c r="N89" i="8"/>
  <c r="M89" i="8"/>
  <c r="N88" i="8"/>
  <c r="M88" i="8"/>
  <c r="N87" i="8"/>
  <c r="M87" i="8"/>
  <c r="N86" i="8"/>
  <c r="M86" i="8"/>
  <c r="N78" i="8"/>
  <c r="M78" i="8"/>
  <c r="N77" i="8"/>
  <c r="M77" i="8"/>
  <c r="N76" i="8"/>
  <c r="M76" i="8"/>
  <c r="N75" i="8"/>
  <c r="M75" i="8"/>
  <c r="N74" i="8"/>
  <c r="M74" i="8"/>
  <c r="N73" i="8"/>
  <c r="M73" i="8"/>
  <c r="N72" i="8"/>
  <c r="M72" i="8"/>
  <c r="N71" i="8"/>
  <c r="M71" i="8"/>
  <c r="N70" i="8"/>
  <c r="M70" i="8"/>
  <c r="N69" i="8"/>
  <c r="M69" i="8"/>
  <c r="N68" i="8"/>
  <c r="M68" i="8"/>
  <c r="N67" i="8"/>
  <c r="M67" i="8"/>
  <c r="N66" i="8"/>
  <c r="M66" i="8"/>
  <c r="N65" i="8"/>
  <c r="M65" i="8"/>
  <c r="N64" i="8"/>
  <c r="M64" i="8"/>
  <c r="N63" i="8"/>
  <c r="M63" i="8"/>
  <c r="N39" i="8"/>
  <c r="M39" i="8"/>
  <c r="N38" i="8"/>
  <c r="M38" i="8"/>
  <c r="N37" i="8"/>
  <c r="M37" i="8"/>
  <c r="N36" i="8"/>
  <c r="M36" i="8"/>
  <c r="N35" i="8"/>
  <c r="M35" i="8"/>
  <c r="N34" i="8"/>
  <c r="M34" i="8"/>
  <c r="N33" i="8"/>
  <c r="M33" i="8"/>
  <c r="N32" i="8"/>
  <c r="M32" i="8"/>
  <c r="L26" i="8"/>
  <c r="K26" i="8"/>
  <c r="J26" i="8"/>
  <c r="I26" i="8"/>
  <c r="H26" i="8"/>
  <c r="G26" i="8"/>
  <c r="F26" i="8"/>
  <c r="M25" i="8"/>
  <c r="M24" i="8"/>
  <c r="M23" i="8"/>
  <c r="M22" i="8"/>
  <c r="M21" i="8"/>
  <c r="M20" i="8"/>
  <c r="M19" i="8"/>
  <c r="L13" i="8"/>
  <c r="K13" i="8"/>
  <c r="J13" i="8"/>
  <c r="I13" i="8"/>
  <c r="H13" i="8"/>
  <c r="G13" i="8"/>
  <c r="F13" i="8"/>
  <c r="E13" i="8"/>
  <c r="D13" i="8"/>
  <c r="B13" i="8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86" i="1"/>
  <c r="N101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63" i="1"/>
  <c r="N63" i="1"/>
  <c r="N33" i="1"/>
  <c r="N34" i="1"/>
  <c r="N35" i="1"/>
  <c r="N36" i="1"/>
  <c r="N37" i="1"/>
  <c r="N38" i="1"/>
  <c r="N39" i="1"/>
  <c r="N32" i="1"/>
  <c r="M33" i="1"/>
  <c r="M34" i="1"/>
  <c r="M35" i="1"/>
  <c r="M36" i="1"/>
  <c r="M37" i="1"/>
  <c r="M38" i="1"/>
  <c r="M39" i="1"/>
  <c r="M32" i="1"/>
  <c r="M20" i="1"/>
  <c r="M21" i="1"/>
  <c r="M22" i="1"/>
  <c r="M23" i="1"/>
  <c r="M24" i="1"/>
  <c r="M25" i="1"/>
  <c r="M19" i="1"/>
  <c r="F26" i="1"/>
  <c r="I26" i="1"/>
  <c r="H26" i="1"/>
  <c r="G26" i="1"/>
  <c r="J26" i="1"/>
  <c r="L26" i="1"/>
  <c r="K26" i="1"/>
  <c r="L13" i="1"/>
  <c r="K13" i="1"/>
  <c r="I13" i="1"/>
  <c r="H13" i="1"/>
  <c r="F13" i="1"/>
  <c r="E13" i="1"/>
  <c r="J13" i="1"/>
  <c r="G13" i="1"/>
  <c r="D13" i="1"/>
  <c r="B13" i="1"/>
  <c r="M13" i="8" l="1"/>
  <c r="M13" i="1"/>
</calcChain>
</file>

<file path=xl/sharedStrings.xml><?xml version="1.0" encoding="utf-8"?>
<sst xmlns="http://schemas.openxmlformats.org/spreadsheetml/2006/main" count="1273" uniqueCount="340">
  <si>
    <t>A. INSTAGRAM POST VOLUME ANALYSIS</t>
  </si>
  <si>
    <t>Company</t>
  </si>
  <si>
    <t>April Posts</t>
  </si>
  <si>
    <t>Axis Max Life</t>
  </si>
  <si>
    <t>Bajaj Life</t>
  </si>
  <si>
    <t>HDFC Life</t>
  </si>
  <si>
    <t>ICICI Prudential</t>
  </si>
  <si>
    <t>Kotak Life</t>
  </si>
  <si>
    <t>SBI Life</t>
  </si>
  <si>
    <t>Tata AIA</t>
  </si>
  <si>
    <t>INDUSTRY AVERAGE</t>
  </si>
  <si>
    <t>Day of Week</t>
  </si>
  <si>
    <t>Sunday</t>
  </si>
  <si>
    <t>Thursday</t>
  </si>
  <si>
    <t>Friday</t>
  </si>
  <si>
    <t>Monday</t>
  </si>
  <si>
    <t>Wednesday</t>
  </si>
  <si>
    <t>Saturday</t>
  </si>
  <si>
    <t>Tuesday</t>
  </si>
  <si>
    <t>CONSOLIDATED INSTAGRAM DATA — All 7 Companies (April–May 2025)</t>
  </si>
  <si>
    <t>Date</t>
  </si>
  <si>
    <t>Type of Content</t>
  </si>
  <si>
    <t>Format of Post</t>
  </si>
  <si>
    <t>Likes</t>
  </si>
  <si>
    <t>Comments</t>
  </si>
  <si>
    <t>Shares</t>
  </si>
  <si>
    <t>Views</t>
  </si>
  <si>
    <t>Frequency (Posts that Day)</t>
  </si>
  <si>
    <t>Product Type</t>
  </si>
  <si>
    <t>01-Apr-2025</t>
  </si>
  <si>
    <t>Social media calendar based + Engagement Based + Product based</t>
  </si>
  <si>
    <t>Photo Post</t>
  </si>
  <si>
    <t>Life Insurance</t>
  </si>
  <si>
    <t>02-Apr-2025</t>
  </si>
  <si>
    <t xml:space="preserve">Social Media Calendar + Value based </t>
  </si>
  <si>
    <t>No specific product</t>
  </si>
  <si>
    <t>04-Apr-2025</t>
  </si>
  <si>
    <t>Information based + Product based + Value based</t>
  </si>
  <si>
    <t>Life insurance</t>
  </si>
  <si>
    <t>05-Apr-2025</t>
  </si>
  <si>
    <t>Product Based + Value based content</t>
  </si>
  <si>
    <t>Video (Reel)</t>
  </si>
  <si>
    <t xml:space="preserve">Life Insurance_Risk Free, Term Plan, Sum Assured, Beneficiary </t>
  </si>
  <si>
    <t>07-Apr-2025</t>
  </si>
  <si>
    <t>Social media calendar based + value based</t>
  </si>
  <si>
    <t>09-Apr-2025</t>
  </si>
  <si>
    <t>Social media calendar based + Value based</t>
  </si>
  <si>
    <t>10-Apr-2025</t>
  </si>
  <si>
    <t xml:space="preserve">Value based content  </t>
  </si>
  <si>
    <t>12-Apr-2025</t>
  </si>
  <si>
    <t>Social media calendar + Value based</t>
  </si>
  <si>
    <t>16-Apr-2025</t>
  </si>
  <si>
    <t>Product based + Value based + Social media calendar (Hashtag)</t>
  </si>
  <si>
    <t>Life insurance @527</t>
  </si>
  <si>
    <t>19-Apr-2025</t>
  </si>
  <si>
    <t>Current trend + Value based</t>
  </si>
  <si>
    <t>21-Apr-2025</t>
  </si>
  <si>
    <t>Social media calendar + Social cause based + Value based</t>
  </si>
  <si>
    <t>24-Apr-2025</t>
  </si>
  <si>
    <t xml:space="preserve">Information based + Engagement based </t>
  </si>
  <si>
    <t>Information based + Engagement based</t>
  </si>
  <si>
    <t>25-Apr-2025</t>
  </si>
  <si>
    <t>Information based + Value based</t>
  </si>
  <si>
    <t>30-Apr-2025</t>
  </si>
  <si>
    <t>Social media calendar OR Informative</t>
  </si>
  <si>
    <t xml:space="preserve">Informative based </t>
  </si>
  <si>
    <t>01-May-2025</t>
  </si>
  <si>
    <t>08-May-2025</t>
  </si>
  <si>
    <t>Current trend + Information based</t>
  </si>
  <si>
    <t>09-May-2025</t>
  </si>
  <si>
    <t>7</t>
  </si>
  <si>
    <t>11-May-2025</t>
  </si>
  <si>
    <t>13-May-2025</t>
  </si>
  <si>
    <t xml:space="preserve">Engagement based + Product based + Value based </t>
  </si>
  <si>
    <t>14-May-2025</t>
  </si>
  <si>
    <t xml:space="preserve">Social meida calendar + Value based </t>
  </si>
  <si>
    <t>Engagement + Informative Based</t>
  </si>
  <si>
    <t>Video</t>
  </si>
  <si>
    <t>03-Apr-2025</t>
  </si>
  <si>
    <t>Product Based</t>
  </si>
  <si>
    <t>Carousel</t>
  </si>
  <si>
    <t>Life Insurance (Bima-ASBA feature)</t>
  </si>
  <si>
    <t>06-Apr-2025</t>
  </si>
  <si>
    <t>Currrent Trend</t>
  </si>
  <si>
    <t>Static</t>
  </si>
  <si>
    <t>11-Apr-2025</t>
  </si>
  <si>
    <t>Product Based+Value Based+Social Cause</t>
  </si>
  <si>
    <t>Term Insurance (Bajaj Allianz Life Superwoman Term Plan)</t>
  </si>
  <si>
    <t>Product Based + Value Based</t>
  </si>
  <si>
    <t>Bajaj Allianz Life Superwoman Term Plan</t>
  </si>
  <si>
    <t>Product Based+Value Based</t>
  </si>
  <si>
    <t>Term Insurance (Women-Specific Plan)</t>
  </si>
  <si>
    <t>Informative Based</t>
  </si>
  <si>
    <t>13-Apr-2025</t>
  </si>
  <si>
    <t>Calender Based</t>
  </si>
  <si>
    <t>14-Apr-2025</t>
  </si>
  <si>
    <t>15-Apr-2025</t>
  </si>
  <si>
    <t>Product Based+Value Based+Current Trend</t>
  </si>
  <si>
    <t>17-Apr-2025</t>
  </si>
  <si>
    <t>Product+ Value Based</t>
  </si>
  <si>
    <t>Term Insurance (Superwoman Term + Critical Illness Rider)</t>
  </si>
  <si>
    <t>18-Apr-2025</t>
  </si>
  <si>
    <t>Investment + Insurance Plan (ACE Plan)</t>
  </si>
  <si>
    <t>20-Apr-2025</t>
  </si>
  <si>
    <t>22-Apr-2025</t>
  </si>
  <si>
    <t>23-Apr-2025</t>
  </si>
  <si>
    <t>Term Insurance (Superwoman Term Plan + Critical Illness Rider)</t>
  </si>
  <si>
    <t>Information Based</t>
  </si>
  <si>
    <t>03-May-2025</t>
  </si>
  <si>
    <t>Investment + Insurance (SISO – Systematic Investment Plan with Life Cover)</t>
  </si>
  <si>
    <t>Informative Based+Engagement</t>
  </si>
  <si>
    <t>12-May-2025</t>
  </si>
  <si>
    <t>Savings Plan (Bajaj Allianz Life ACE – Goal Protection Benefit)</t>
  </si>
  <si>
    <t>15-May-2025</t>
  </si>
  <si>
    <t>Pension / Annuity Plan (Bajaj Allianz Life Guaranteed Pension Goal II)</t>
  </si>
  <si>
    <t>ULIP / Investment-linked Plan (SISO- Systematic In Systematic Out)</t>
  </si>
  <si>
    <t>Calender based + Value based Content</t>
  </si>
  <si>
    <t>Post</t>
  </si>
  <si>
    <t xml:space="preserve">Social Media Calender </t>
  </si>
  <si>
    <t>Product Based Content</t>
  </si>
  <si>
    <t>Video(Reel)</t>
  </si>
  <si>
    <t>Insurance</t>
  </si>
  <si>
    <t>Product-Based Content</t>
  </si>
  <si>
    <t>08-Apr-2025</t>
  </si>
  <si>
    <t>Product Content</t>
  </si>
  <si>
    <t>Product-Based + Value Based Content</t>
  </si>
  <si>
    <t xml:space="preserve">Current Trend </t>
  </si>
  <si>
    <t>Photo</t>
  </si>
  <si>
    <t xml:space="preserve">Product-Based Content </t>
  </si>
  <si>
    <t>Value Based + Current Trend</t>
  </si>
  <si>
    <t>Product Based+ Value Content</t>
  </si>
  <si>
    <t>Product-Based Content+ Value Based Content</t>
  </si>
  <si>
    <t>Current Trend + Engagement</t>
  </si>
  <si>
    <t>Current Trend</t>
  </si>
  <si>
    <t>Current Trend Content</t>
  </si>
  <si>
    <t>Value Based + Product Based</t>
  </si>
  <si>
    <t>Insurance (with Riders / Add-ons)</t>
  </si>
  <si>
    <t>Social Cause Content+ Calender based</t>
  </si>
  <si>
    <t>28-Apr-2025</t>
  </si>
  <si>
    <t>Value Based</t>
  </si>
  <si>
    <t>Carusal</t>
  </si>
  <si>
    <t>29-Apr-2025</t>
  </si>
  <si>
    <t>Current Trend + Value-based</t>
  </si>
  <si>
    <t>Calender based</t>
  </si>
  <si>
    <t>05-May-2025</t>
  </si>
  <si>
    <t>Product + Engagement-based + Value based</t>
  </si>
  <si>
    <t>06-May-2025</t>
  </si>
  <si>
    <t xml:space="preserve">Engagement based </t>
  </si>
  <si>
    <t xml:space="preserve">Current Trend Content </t>
  </si>
  <si>
    <t>07-May-2025</t>
  </si>
  <si>
    <t xml:space="preserve">Engagement + Product + Value based </t>
  </si>
  <si>
    <t>Current Trend Content + Value Based</t>
  </si>
  <si>
    <t>Engagement-based + Value Based</t>
  </si>
  <si>
    <t>Social Cause, Social media Calendar and Value based</t>
  </si>
  <si>
    <t>Poster</t>
  </si>
  <si>
    <t xml:space="preserve">value based, product based and engagement </t>
  </si>
  <si>
    <t xml:space="preserve">ICICI pru term insurance plan </t>
  </si>
  <si>
    <t xml:space="preserve">Value based, Product based and Engagement </t>
  </si>
  <si>
    <t xml:space="preserve">Value based and Current trend </t>
  </si>
  <si>
    <t xml:space="preserve">Informative </t>
  </si>
  <si>
    <t xml:space="preserve">Value based and Informative </t>
  </si>
  <si>
    <t>ICICI pru Family Plan ( Saving )</t>
  </si>
  <si>
    <t xml:space="preserve">Value based, Informative and Current trend </t>
  </si>
  <si>
    <t>Social media Calendar and Value based</t>
  </si>
  <si>
    <t xml:space="preserve">Product based and Engagement </t>
  </si>
  <si>
    <t>IPRU EDGE CMS</t>
  </si>
  <si>
    <t xml:space="preserve">Informative and value based </t>
  </si>
  <si>
    <t xml:space="preserve">Informative, Product and Value based </t>
  </si>
  <si>
    <t>ICICI PRU SMART iProtect TERM insurance</t>
  </si>
  <si>
    <t xml:space="preserve">Informative and Value based </t>
  </si>
  <si>
    <t>Social media Calendar, Informative and Value based</t>
  </si>
  <si>
    <t>10-May-2025</t>
  </si>
  <si>
    <t>Social media Calendar, Informative, Engagement and Value based</t>
  </si>
  <si>
    <t xml:space="preserve">Product based  </t>
  </si>
  <si>
    <t>Product Based, value based and Informative</t>
  </si>
  <si>
    <t>Current trend</t>
  </si>
  <si>
    <t>Picture Post</t>
  </si>
  <si>
    <t>Engagement, Vaue Based</t>
  </si>
  <si>
    <t>Reel</t>
  </si>
  <si>
    <t>Informative</t>
  </si>
  <si>
    <t>SM Calendar, Product Based</t>
  </si>
  <si>
    <t>HappyYou Application</t>
  </si>
  <si>
    <t>Current trend, Product Based</t>
  </si>
  <si>
    <t>E-Term Plan</t>
  </si>
  <si>
    <t>SM Calendar</t>
  </si>
  <si>
    <t>Testimonials</t>
  </si>
  <si>
    <t>Engagement, Product Based, Value Based</t>
  </si>
  <si>
    <t>Current Trand, Value Based, Product Based</t>
  </si>
  <si>
    <t>Loan Against Policy</t>
  </si>
  <si>
    <t>27-Apr-2025</t>
  </si>
  <si>
    <t>SM Calendar, Value Based</t>
  </si>
  <si>
    <t>Engagement
Current Trend
Product Based
Value Based</t>
  </si>
  <si>
    <t>Static post</t>
  </si>
  <si>
    <t>SBI Life Smart Platina Supreme (Guaranteed Return / Income Plan)</t>
  </si>
  <si>
    <t>Informative (Anniversary milestone)</t>
  </si>
  <si>
    <t>Value Based
Current Trend (IPL and Ghibli AI trend)</t>
  </si>
  <si>
    <t>Current Trend (IPL)
Value Based
Engagement
Informative</t>
  </si>
  <si>
    <t>Current Trend (IPL)
Engagement
Informative</t>
  </si>
  <si>
    <t>Current Trend (IPL)
Engagement</t>
  </si>
  <si>
    <t>Current Trend (IPL)
Value Based</t>
  </si>
  <si>
    <t>Current Trend (Banking Fraud Surge)
Social Cause</t>
  </si>
  <si>
    <t xml:space="preserve">
Current Trend (IPL)
Engagement
Value Based</t>
  </si>
  <si>
    <t>Social Media Calendar
Value Based</t>
  </si>
  <si>
    <t>Carousel Post</t>
  </si>
  <si>
    <t>Product Based
Value Based</t>
  </si>
  <si>
    <t>SBI Life Smart Platina Young Achiever</t>
  </si>
  <si>
    <t>Informative
Current Trend (Innovation / skill-building ecosystem)</t>
  </si>
  <si>
    <t>Informative
Current Trend (Innovation / skill-building ecosystem)
Engagement</t>
  </si>
  <si>
    <t>26-Apr-2025</t>
  </si>
  <si>
    <t>Informative
Current trend (innovation for better customer experience)
Engagement</t>
  </si>
  <si>
    <t>Product Based
Value Based
Engagement</t>
  </si>
  <si>
    <t>SBI Life Smart Future Star</t>
  </si>
  <si>
    <t>04-May-2025</t>
  </si>
  <si>
    <t>Engagement
Social Cause 
Current Trend (Innovation / skill-building ecosystem)</t>
  </si>
  <si>
    <t>Social Media Calendar</t>
  </si>
  <si>
    <t>19-May-2025</t>
  </si>
  <si>
    <t>21-May-2025</t>
  </si>
  <si>
    <t>Social Cause
Value Based
Informative</t>
  </si>
  <si>
    <t>22-May-2025</t>
  </si>
  <si>
    <t>Product Based + Value based</t>
  </si>
  <si>
    <t>Life and Health</t>
  </si>
  <si>
    <t xml:space="preserve">Not specific </t>
  </si>
  <si>
    <t>Photo post</t>
  </si>
  <si>
    <t>Testimonials + value Based + Product Based</t>
  </si>
  <si>
    <t>Investment linked policy(critical illness)</t>
  </si>
  <si>
    <t>Value based +Product based</t>
  </si>
  <si>
    <t>Value based + Current Trend</t>
  </si>
  <si>
    <t>-</t>
  </si>
  <si>
    <t>Product based+ value based</t>
  </si>
  <si>
    <t>Health Insurance</t>
  </si>
  <si>
    <t>Social media calender based + Value Based</t>
  </si>
  <si>
    <t>Value based + Product Based</t>
  </si>
  <si>
    <t>Value based + Social Cause</t>
  </si>
  <si>
    <t>Product based + Information based + Social Cause</t>
  </si>
  <si>
    <t>Retirement Plan,Term Plan</t>
  </si>
  <si>
    <t xml:space="preserve">Testimonials + value Based </t>
  </si>
  <si>
    <t>Format</t>
  </si>
  <si>
    <t>Recommended Post for April / Month</t>
  </si>
  <si>
    <t>In First 10 Days</t>
  </si>
  <si>
    <t>In Second 10 Days</t>
  </si>
  <si>
    <t>In last 10 Days</t>
  </si>
  <si>
    <t>Recommended Post for April in 10 days</t>
  </si>
  <si>
    <t xml:space="preserve">Avg post by all in 10 days </t>
  </si>
  <si>
    <t>Number of Photo Post</t>
  </si>
  <si>
    <t>Number of Video Reels</t>
  </si>
  <si>
    <t>Type of content</t>
  </si>
  <si>
    <t>Segment</t>
  </si>
  <si>
    <t>Values</t>
  </si>
  <si>
    <t>Social media calendar</t>
  </si>
  <si>
    <t>Product type</t>
  </si>
  <si>
    <t>Time</t>
  </si>
  <si>
    <t xml:space="preserve">Value based </t>
  </si>
  <si>
    <t>Product based</t>
  </si>
  <si>
    <t>Informative based</t>
  </si>
  <si>
    <t>Current trends</t>
  </si>
  <si>
    <t>Engagement based</t>
  </si>
  <si>
    <t>Testimonial</t>
  </si>
  <si>
    <t>Social cause based</t>
  </si>
  <si>
    <t>C. BEST DAYS TO POST</t>
  </si>
  <si>
    <t>Number of post / Month</t>
  </si>
  <si>
    <t>Average</t>
  </si>
  <si>
    <t xml:space="preserve">Round  off </t>
  </si>
  <si>
    <t>Social media Calendar</t>
  </si>
  <si>
    <t>All</t>
  </si>
  <si>
    <t>Day</t>
  </si>
  <si>
    <t>Social cause</t>
  </si>
  <si>
    <t>Testimonial based</t>
  </si>
  <si>
    <t xml:space="preserve">Type of Content for 10 days </t>
  </si>
  <si>
    <t>TOTAL SUM</t>
  </si>
  <si>
    <t xml:space="preserve">TOTAL </t>
  </si>
  <si>
    <t xml:space="preserve">Avg </t>
  </si>
  <si>
    <t>Social media Calendar + Value based</t>
  </si>
  <si>
    <t>April Fool day</t>
  </si>
  <si>
    <t>NIL</t>
  </si>
  <si>
    <t>Product based + Current trend</t>
  </si>
  <si>
    <t>DONE</t>
  </si>
  <si>
    <t>Informative + value</t>
  </si>
  <si>
    <t>NiL</t>
  </si>
  <si>
    <t>Engagement based + Current trends</t>
  </si>
  <si>
    <t>Value based</t>
  </si>
  <si>
    <t xml:space="preserve"> SOCIAL MEDIA MASTER ANALYSIS FOR PLANNAR (INSTAGRAM)</t>
  </si>
  <si>
    <t>1. Financial Protection</t>
  </si>
  <si>
    <t>2. Tax Benefits</t>
  </si>
  <si>
    <t>3. Convenient Digital Services</t>
  </si>
  <si>
    <t>4. Smooth Claim Services</t>
  </si>
  <si>
    <t>5. Income Replacement</t>
  </si>
  <si>
    <t>6. Spouse Financial Protection</t>
  </si>
  <si>
    <t>7. Peace of Mind</t>
  </si>
  <si>
    <t>8. Goal-Based Planning</t>
  </si>
  <si>
    <t>9. Child Future Protection</t>
  </si>
  <si>
    <t>10. Education Planning</t>
  </si>
  <si>
    <t>11. Long-Term Protection</t>
  </si>
  <si>
    <t>12. Increased Financial Responsibility</t>
  </si>
  <si>
    <t>13. Family Security</t>
  </si>
  <si>
    <t>14. Retirement Planning</t>
  </si>
  <si>
    <t>15. Savings</t>
  </si>
  <si>
    <t>16. Wealth Creation</t>
  </si>
  <si>
    <t>Type of Values</t>
  </si>
  <si>
    <t xml:space="preserve">Type of Values for 10 days </t>
  </si>
  <si>
    <t>Round off</t>
  </si>
  <si>
    <t>Product Based + Engagement</t>
  </si>
  <si>
    <t>Social media Calendar + Product Based + Value based</t>
  </si>
  <si>
    <t>World Health Day</t>
  </si>
  <si>
    <t>Social cause + Value based</t>
  </si>
  <si>
    <t xml:space="preserve">1. Working Professionals  </t>
  </si>
  <si>
    <t xml:space="preserve">2. Couple  </t>
  </si>
  <si>
    <t xml:space="preserve">3. Mid to High Income People </t>
  </si>
  <si>
    <t xml:space="preserve">4. Parents with Pre-Teens </t>
  </si>
  <si>
    <t xml:space="preserve">5. Parents with Teens </t>
  </si>
  <si>
    <t xml:space="preserve"> </t>
  </si>
  <si>
    <t xml:space="preserve">6. Parents with Adult Children </t>
  </si>
  <si>
    <t xml:space="preserve">7. Away from Home </t>
  </si>
  <si>
    <t xml:space="preserve">8. Newly Married Couples  </t>
  </si>
  <si>
    <t xml:space="preserve">9. Single Parents </t>
  </si>
  <si>
    <t xml:space="preserve">10. Pre-Retirement and Retirement Planner </t>
  </si>
  <si>
    <t xml:space="preserve">11. Newly Promoted Individuals  </t>
  </si>
  <si>
    <t xml:space="preserve">12. New Job Employees  </t>
  </si>
  <si>
    <t xml:space="preserve">13. Self-Employed and Business Owners </t>
  </si>
  <si>
    <t xml:space="preserve">14. Women Entrepreneurs  </t>
  </si>
  <si>
    <t xml:space="preserve">15. New Parents   </t>
  </si>
  <si>
    <t xml:space="preserve">Type of Segment for 10 days </t>
  </si>
  <si>
    <t>Type of Segments</t>
  </si>
  <si>
    <t>16. All</t>
  </si>
  <si>
    <t>Yes</t>
  </si>
  <si>
    <t>No</t>
  </si>
  <si>
    <t>Conclusion</t>
  </si>
  <si>
    <t>Consecutively skipped two days posting in First 10 Days</t>
  </si>
  <si>
    <t>YES</t>
  </si>
  <si>
    <t>Done</t>
  </si>
  <si>
    <t>Peace of mind + Long term protection</t>
  </si>
  <si>
    <t>Family security + Goal based +  Savings + Wealth Creation</t>
  </si>
  <si>
    <t xml:space="preserve">Financial Protection + Retirement planning + Tax benefit </t>
  </si>
  <si>
    <t>Done'</t>
  </si>
  <si>
    <t>Financial Protection + Inc Financial Resp. + Family security</t>
  </si>
  <si>
    <t>Financial Protection + Income replacement + Education Planning + Long term Protection</t>
  </si>
  <si>
    <t>Term Plan</t>
  </si>
  <si>
    <t>SOCIAL MEDIA PLANNER FOR INSTAGRAM (FIRST 10 DAYS)</t>
  </si>
  <si>
    <t>A. FACEBOOK POST VOLUME ANALYSIS</t>
  </si>
  <si>
    <t xml:space="preserve"> SOCIAL MEDIA MASTER ANALYSIS FOR PLANNAR (FACEBOOK)</t>
  </si>
  <si>
    <t>Number of post / Month - Day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</si>
</sst>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9"/>
      <color rgb="FF595959"/>
      <name val="Arial"/>
      <family val="2"/>
    </font>
    <font>
      <b/>
      <sz val="13"/>
      <color rgb="FFFFFFFF"/>
      <name val="Arial"/>
      <family val="2"/>
    </font>
    <font>
      <sz val="15"/>
      <color theme="1"/>
      <name val="Calibri"/>
      <family val="2"/>
      <charset val="1"/>
    </font>
    <font>
      <b/>
      <sz val="15"/>
      <color theme="1"/>
      <name val="Calibri"/>
      <family val="2"/>
    </font>
    <font>
      <sz val="8"/>
      <name val="Calibri"/>
      <family val="2"/>
      <charset val="1"/>
    </font>
    <font>
      <b/>
      <sz val="15"/>
      <color rgb="FFFFFFFF"/>
      <name val="Arial"/>
      <family val="2"/>
    </font>
    <font>
      <b/>
      <sz val="15"/>
      <color rgb="FF000000"/>
      <name val="Arial"/>
      <family val="2"/>
    </font>
    <font>
      <b/>
      <sz val="25"/>
      <color theme="1"/>
      <name val="Calibri"/>
      <family val="2"/>
    </font>
    <font>
      <b/>
      <sz val="20"/>
      <color rgb="FF000000"/>
      <name val="Arial"/>
      <family val="2"/>
    </font>
    <font>
      <b/>
      <sz val="20"/>
      <color theme="1"/>
      <name val="Calibri"/>
      <family val="2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1"/>
    </font>
    <font>
      <b/>
      <sz val="18"/>
      <color rgb="FF000000"/>
      <name val="Arial"/>
      <family val="2"/>
    </font>
    <font>
      <b/>
      <sz val="18"/>
      <color theme="1"/>
      <name val="Calibri"/>
      <family val="2"/>
      <charset val="1"/>
    </font>
    <font>
      <b/>
      <sz val="12"/>
      <color theme="1"/>
      <name val="Calibri"/>
      <family val="2"/>
      <scheme val="minor"/>
    </font>
    <font>
      <sz val="15"/>
      <color theme="1"/>
      <name val="Calibri"/>
      <family val="2"/>
    </font>
    <font>
      <b/>
      <shadow/>
      <sz val="12"/>
      <color rgb="FF000000"/>
      <name val="Calibri"/>
      <family val="2"/>
    </font>
    <font>
      <b/>
      <sz val="20"/>
      <color theme="1"/>
      <name val="Calibri"/>
      <family val="2"/>
      <charset val="1"/>
    </font>
    <font>
      <b/>
      <shadow/>
      <sz val="20"/>
      <color rgb="FF000000"/>
      <name val="Calibri"/>
      <family val="2"/>
    </font>
    <font>
      <b/>
      <sz val="18"/>
      <color rgb="FFFFFFFF"/>
      <name val="Arial"/>
      <family val="2"/>
    </font>
    <font>
      <shadow/>
      <sz val="11"/>
      <color rgb="FF000000"/>
      <name val="Calibri"/>
      <family val="2"/>
    </font>
    <font>
      <b/>
      <shadow/>
      <sz val="18"/>
      <color rgb="FF000000"/>
      <name val="Calibri"/>
      <family val="2"/>
    </font>
    <font>
      <sz val="18"/>
      <color theme="1"/>
      <name val="Calibri"/>
      <family val="2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charset val="1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6"/>
      <color theme="1"/>
      <name val="Calibri"/>
      <family val="2"/>
      <charset val="1"/>
    </font>
    <font>
      <b/>
      <sz val="16"/>
      <color theme="1"/>
      <name val="Calibri"/>
      <family val="2"/>
    </font>
    <font>
      <b/>
      <sz val="16"/>
      <color rgb="FFFFFFFF"/>
      <name val="Arial"/>
      <family val="2"/>
    </font>
    <font>
      <b/>
      <sz val="16"/>
      <color rgb="FF000000"/>
      <name val="Arial"/>
      <family val="2"/>
    </font>
    <font>
      <sz val="16"/>
      <color rgb="FF000000"/>
      <name val="Arial"/>
      <family val="2"/>
    </font>
    <font>
      <b/>
      <sz val="16"/>
      <color theme="1"/>
      <name val="Calibri"/>
      <family val="2"/>
      <charset val="1"/>
    </font>
    <font>
      <b/>
      <shadow/>
      <sz val="16"/>
      <color rgb="FF000000"/>
      <name val="Calibri"/>
      <family val="2"/>
    </font>
    <font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8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1F3864"/>
        <bgColor rgb="FF2F4F4F"/>
      </patternFill>
    </fill>
    <fill>
      <patternFill patternType="solid">
        <fgColor rgb="FF2E75B6"/>
        <bgColor rgb="FF2F5496"/>
      </patternFill>
    </fill>
    <fill>
      <patternFill patternType="solid">
        <fgColor rgb="FFFFFFFF"/>
        <bgColor rgb="FFFFF2CC"/>
      </patternFill>
    </fill>
    <fill>
      <patternFill patternType="solid">
        <fgColor rgb="FFE2EFDA"/>
        <bgColor rgb="FFDAEEF3"/>
      </patternFill>
    </fill>
    <fill>
      <patternFill patternType="solid">
        <fgColor rgb="FFBDD7EE"/>
        <bgColor rgb="FF99CC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2DCDB"/>
      </patternFill>
    </fill>
    <fill>
      <patternFill patternType="solid">
        <fgColor rgb="FFDAEEF3"/>
        <bgColor rgb="FFE2EFDA"/>
      </patternFill>
    </fill>
    <fill>
      <patternFill patternType="solid">
        <fgColor rgb="FFE4DFEC"/>
        <bgColor rgb="FFF2DCDB"/>
      </patternFill>
    </fill>
    <fill>
      <patternFill patternType="solid">
        <fgColor rgb="FFF2DCDB"/>
        <bgColor rgb="FFFCE4D6"/>
      </patternFill>
    </fill>
    <fill>
      <patternFill patternType="solid">
        <fgColor rgb="FFFFFF00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rgb="FFFCE4D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rgb="FF2F4F4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rgb="FFDAEEF3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rgb="FF2F4F4F"/>
      </patternFill>
    </fill>
    <fill>
      <patternFill patternType="solid">
        <fgColor rgb="FF92CDD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rgb="FF2F4F4F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4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7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0" fontId="0" fillId="0" borderId="20" xfId="0" applyBorder="1"/>
    <xf numFmtId="0" fontId="0" fillId="0" borderId="19" xfId="0" applyBorder="1"/>
    <xf numFmtId="0" fontId="12" fillId="5" borderId="1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1" fillId="3" borderId="18" xfId="0" applyFont="1" applyFill="1" applyBorder="1" applyAlignment="1">
      <alignment horizontal="left" vertical="center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2" fillId="4" borderId="2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2" fillId="4" borderId="14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19" fillId="0" borderId="2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21" xfId="0" applyFont="1" applyBorder="1" applyAlignment="1">
      <alignment horizontal="center"/>
    </xf>
    <xf numFmtId="0" fontId="12" fillId="0" borderId="2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wrapText="1"/>
    </xf>
    <xf numFmtId="14" fontId="16" fillId="0" borderId="0" xfId="0" applyNumberFormat="1" applyFont="1" applyAlignment="1">
      <alignment wrapText="1"/>
    </xf>
    <xf numFmtId="0" fontId="20" fillId="0" borderId="0" xfId="0" applyFont="1" applyAlignment="1">
      <alignment wrapText="1"/>
    </xf>
    <xf numFmtId="0" fontId="21" fillId="0" borderId="0" xfId="0" applyFont="1"/>
    <xf numFmtId="0" fontId="22" fillId="0" borderId="0" xfId="0" applyFont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4" fillId="0" borderId="12" xfId="0" applyFont="1" applyBorder="1" applyAlignment="1">
      <alignment horizontal="left" vertical="center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/>
    </xf>
    <xf numFmtId="0" fontId="23" fillId="0" borderId="21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164" fontId="23" fillId="0" borderId="0" xfId="0" applyNumberFormat="1" applyFont="1" applyAlignment="1">
      <alignment horizontal="center"/>
    </xf>
    <xf numFmtId="164" fontId="23" fillId="0" borderId="21" xfId="0" applyNumberFormat="1" applyFont="1" applyBorder="1" applyAlignment="1">
      <alignment horizontal="center"/>
    </xf>
    <xf numFmtId="0" fontId="25" fillId="3" borderId="20" xfId="0" applyFont="1" applyFill="1" applyBorder="1" applyAlignment="1">
      <alignment horizontal="left" vertical="center"/>
    </xf>
    <xf numFmtId="0" fontId="17" fillId="0" borderId="20" xfId="0" applyFont="1" applyBorder="1"/>
    <xf numFmtId="0" fontId="17" fillId="0" borderId="19" xfId="0" applyFont="1" applyBorder="1"/>
    <xf numFmtId="0" fontId="18" fillId="4" borderId="0" xfId="0" applyFont="1" applyFill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26" fillId="0" borderId="0" xfId="0" applyFont="1"/>
    <xf numFmtId="164" fontId="19" fillId="0" borderId="0" xfId="0" applyNumberFormat="1" applyFont="1" applyAlignment="1">
      <alignment horizontal="center"/>
    </xf>
    <xf numFmtId="0" fontId="19" fillId="0" borderId="13" xfId="0" applyFont="1" applyBorder="1" applyAlignment="1">
      <alignment horizontal="center"/>
    </xf>
    <xf numFmtId="0" fontId="27" fillId="0" borderId="14" xfId="0" applyFont="1" applyBorder="1" applyAlignment="1">
      <alignment horizontal="left" vertical="center"/>
    </xf>
    <xf numFmtId="164" fontId="19" fillId="0" borderId="21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7" fillId="0" borderId="12" xfId="0" applyFont="1" applyBorder="1"/>
    <xf numFmtId="0" fontId="27" fillId="18" borderId="12" xfId="0" applyFont="1" applyFill="1" applyBorder="1"/>
    <xf numFmtId="0" fontId="18" fillId="0" borderId="21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3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31" fillId="16" borderId="16" xfId="0" applyFont="1" applyFill="1" applyBorder="1" applyAlignment="1">
      <alignment horizontal="center" vertical="center" wrapText="1"/>
    </xf>
    <xf numFmtId="0" fontId="31" fillId="16" borderId="1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left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/>
    </xf>
    <xf numFmtId="0" fontId="34" fillId="17" borderId="12" xfId="0" applyFont="1" applyFill="1" applyBorder="1" applyAlignment="1">
      <alignment horizontal="center"/>
    </xf>
    <xf numFmtId="0" fontId="34" fillId="17" borderId="13" xfId="0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0" fontId="30" fillId="0" borderId="18" xfId="0" applyFont="1" applyBorder="1" applyAlignment="1">
      <alignment horizontal="center"/>
    </xf>
    <xf numFmtId="0" fontId="30" fillId="0" borderId="19" xfId="0" applyFont="1" applyBorder="1" applyAlignment="1">
      <alignment horizontal="center"/>
    </xf>
    <xf numFmtId="0" fontId="30" fillId="24" borderId="0" xfId="0" applyFont="1" applyFill="1"/>
    <xf numFmtId="0" fontId="30" fillId="24" borderId="8" xfId="0" applyFont="1" applyFill="1" applyBorder="1"/>
    <xf numFmtId="0" fontId="32" fillId="6" borderId="1" xfId="0" applyFont="1" applyFill="1" applyBorder="1" applyAlignment="1">
      <alignment horizontal="left" vertical="center" wrapText="1"/>
    </xf>
    <xf numFmtId="0" fontId="33" fillId="6" borderId="3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32" fillId="4" borderId="4" xfId="0" applyFont="1" applyFill="1" applyBorder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0" fontId="33" fillId="4" borderId="9" xfId="0" applyFont="1" applyFill="1" applyBorder="1" applyAlignment="1">
      <alignment horizontal="center" vertical="center" wrapText="1"/>
    </xf>
    <xf numFmtId="0" fontId="33" fillId="6" borderId="10" xfId="0" applyFont="1" applyFill="1" applyBorder="1" applyAlignment="1">
      <alignment horizontal="center" vertical="center" wrapText="1"/>
    </xf>
    <xf numFmtId="0" fontId="32" fillId="4" borderId="3" xfId="0" applyFont="1" applyFill="1" applyBorder="1" applyAlignment="1">
      <alignment horizontal="left" vertical="center" wrapText="1"/>
    </xf>
    <xf numFmtId="0" fontId="33" fillId="4" borderId="3" xfId="0" applyFont="1" applyFill="1" applyBorder="1" applyAlignment="1">
      <alignment horizontal="center" vertical="center" wrapText="1"/>
    </xf>
    <xf numFmtId="0" fontId="34" fillId="17" borderId="14" xfId="0" applyFont="1" applyFill="1" applyBorder="1" applyAlignment="1">
      <alignment horizontal="center"/>
    </xf>
    <xf numFmtId="0" fontId="34" fillId="17" borderId="15" xfId="0" applyFont="1" applyFill="1" applyBorder="1" applyAlignment="1">
      <alignment horizontal="center"/>
    </xf>
    <xf numFmtId="0" fontId="30" fillId="0" borderId="14" xfId="0" applyFont="1" applyBorder="1" applyAlignment="1">
      <alignment horizontal="center"/>
    </xf>
    <xf numFmtId="0" fontId="30" fillId="0" borderId="15" xfId="0" applyFont="1" applyBorder="1" applyAlignment="1">
      <alignment horizontal="center"/>
    </xf>
    <xf numFmtId="0" fontId="32" fillId="7" borderId="2" xfId="0" applyFont="1" applyFill="1" applyBorder="1" applyAlignment="1">
      <alignment horizontal="left" vertical="center" wrapText="1"/>
    </xf>
    <xf numFmtId="1" fontId="32" fillId="12" borderId="5" xfId="0" applyNumberFormat="1" applyFont="1" applyFill="1" applyBorder="1" applyAlignment="1">
      <alignment horizontal="center" vertical="center" wrapText="1"/>
    </xf>
    <xf numFmtId="1" fontId="32" fillId="14" borderId="2" xfId="0" applyNumberFormat="1" applyFont="1" applyFill="1" applyBorder="1" applyAlignment="1">
      <alignment horizontal="center" vertical="center" wrapText="1"/>
    </xf>
    <xf numFmtId="1" fontId="35" fillId="13" borderId="2" xfId="0" applyNumberFormat="1" applyFont="1" applyFill="1" applyBorder="1" applyAlignment="1">
      <alignment horizontal="center"/>
    </xf>
    <xf numFmtId="1" fontId="35" fillId="18" borderId="2" xfId="0" applyNumberFormat="1" applyFont="1" applyFill="1" applyBorder="1" applyAlignment="1">
      <alignment horizontal="center"/>
    </xf>
    <xf numFmtId="1" fontId="35" fillId="19" borderId="2" xfId="0" applyNumberFormat="1" applyFont="1" applyFill="1" applyBorder="1" applyAlignment="1">
      <alignment horizontal="center"/>
    </xf>
    <xf numFmtId="1" fontId="35" fillId="18" borderId="6" xfId="0" applyNumberFormat="1" applyFont="1" applyFill="1" applyBorder="1" applyAlignment="1">
      <alignment horizontal="center"/>
    </xf>
    <xf numFmtId="1" fontId="35" fillId="19" borderId="6" xfId="0" applyNumberFormat="1" applyFont="1" applyFill="1" applyBorder="1" applyAlignment="1">
      <alignment horizontal="center"/>
    </xf>
    <xf numFmtId="1" fontId="35" fillId="15" borderId="6" xfId="0" applyNumberFormat="1" applyFont="1" applyFill="1" applyBorder="1" applyAlignment="1">
      <alignment horizontal="center"/>
    </xf>
    <xf numFmtId="0" fontId="35" fillId="15" borderId="2" xfId="0" applyFont="1" applyFill="1" applyBorder="1" applyAlignment="1">
      <alignment horizontal="center"/>
    </xf>
    <xf numFmtId="0" fontId="36" fillId="0" borderId="0" xfId="0" applyFont="1"/>
    <xf numFmtId="0" fontId="38" fillId="3" borderId="18" xfId="0" applyFont="1" applyFill="1" applyBorder="1" applyAlignment="1">
      <alignment horizontal="left" vertical="center"/>
    </xf>
    <xf numFmtId="0" fontId="36" fillId="0" borderId="20" xfId="0" applyFont="1" applyBorder="1"/>
    <xf numFmtId="0" fontId="36" fillId="0" borderId="19" xfId="0" applyFont="1" applyBorder="1"/>
    <xf numFmtId="0" fontId="38" fillId="2" borderId="12" xfId="0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center" vertical="center" wrapText="1"/>
    </xf>
    <xf numFmtId="0" fontId="39" fillId="6" borderId="21" xfId="0" applyFont="1" applyFill="1" applyBorder="1" applyAlignment="1">
      <alignment horizontal="center" vertical="center" wrapText="1"/>
    </xf>
    <xf numFmtId="0" fontId="39" fillId="4" borderId="21" xfId="0" applyFont="1" applyFill="1" applyBorder="1" applyAlignment="1">
      <alignment horizontal="center" vertical="center" wrapText="1"/>
    </xf>
    <xf numFmtId="0" fontId="39" fillId="21" borderId="16" xfId="0" applyFont="1" applyFill="1" applyBorder="1" applyAlignment="1">
      <alignment horizontal="center" vertical="center" wrapText="1"/>
    </xf>
    <xf numFmtId="0" fontId="39" fillId="21" borderId="23" xfId="0" applyFont="1" applyFill="1" applyBorder="1" applyAlignment="1">
      <alignment horizontal="center" vertical="center" wrapText="1"/>
    </xf>
    <xf numFmtId="0" fontId="39" fillId="5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/>
    </xf>
    <xf numFmtId="164" fontId="36" fillId="21" borderId="16" xfId="0" applyNumberFormat="1" applyFont="1" applyFill="1" applyBorder="1" applyAlignment="1">
      <alignment horizontal="center"/>
    </xf>
    <xf numFmtId="0" fontId="36" fillId="21" borderId="23" xfId="0" applyFont="1" applyFill="1" applyBorder="1" applyAlignment="1">
      <alignment horizontal="center"/>
    </xf>
    <xf numFmtId="0" fontId="37" fillId="21" borderId="23" xfId="0" applyFont="1" applyFill="1" applyBorder="1" applyAlignment="1">
      <alignment horizontal="center"/>
    </xf>
    <xf numFmtId="0" fontId="39" fillId="5" borderId="14" xfId="0" applyFont="1" applyFill="1" applyBorder="1" applyAlignment="1">
      <alignment horizontal="center" vertical="center" wrapText="1"/>
    </xf>
    <xf numFmtId="0" fontId="37" fillId="0" borderId="21" xfId="0" applyFont="1" applyBorder="1" applyAlignment="1">
      <alignment horizontal="center" vertical="center"/>
    </xf>
    <xf numFmtId="0" fontId="36" fillId="21" borderId="25" xfId="0" applyFont="1" applyFill="1" applyBorder="1"/>
    <xf numFmtId="0" fontId="36" fillId="21" borderId="32" xfId="0" applyFont="1" applyFill="1" applyBorder="1"/>
    <xf numFmtId="0" fontId="38" fillId="2" borderId="14" xfId="0" applyFont="1" applyFill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21" borderId="21" xfId="0" applyFont="1" applyFill="1" applyBorder="1" applyAlignment="1">
      <alignment horizontal="center" vertical="center" wrapText="1"/>
    </xf>
    <xf numFmtId="0" fontId="39" fillId="21" borderId="15" xfId="0" applyFont="1" applyFill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1" fillId="0" borderId="0" xfId="0" applyFont="1" applyAlignment="1">
      <alignment horizontal="center"/>
    </xf>
    <xf numFmtId="0" fontId="41" fillId="0" borderId="0" xfId="0" applyFont="1" applyAlignment="1">
      <alignment horizontal="center" vertical="center"/>
    </xf>
    <xf numFmtId="0" fontId="41" fillId="21" borderId="0" xfId="0" applyFont="1" applyFill="1"/>
    <xf numFmtId="164" fontId="41" fillId="21" borderId="13" xfId="0" applyNumberFormat="1" applyFont="1" applyFill="1" applyBorder="1" applyAlignment="1">
      <alignment horizontal="center"/>
    </xf>
    <xf numFmtId="0" fontId="41" fillId="0" borderId="21" xfId="0" applyFont="1" applyBorder="1" applyAlignment="1">
      <alignment horizontal="center" vertical="center"/>
    </xf>
    <xf numFmtId="0" fontId="41" fillId="0" borderId="21" xfId="0" applyFont="1" applyBorder="1" applyAlignment="1">
      <alignment horizontal="center"/>
    </xf>
    <xf numFmtId="0" fontId="41" fillId="21" borderId="21" xfId="0" applyFont="1" applyFill="1" applyBorder="1"/>
    <xf numFmtId="164" fontId="41" fillId="21" borderId="15" xfId="0" applyNumberFormat="1" applyFont="1" applyFill="1" applyBorder="1" applyAlignment="1">
      <alignment horizontal="center"/>
    </xf>
    <xf numFmtId="0" fontId="31" fillId="28" borderId="16" xfId="0" applyFont="1" applyFill="1" applyBorder="1" applyAlignment="1">
      <alignment horizontal="center" vertical="center" wrapText="1"/>
    </xf>
    <xf numFmtId="0" fontId="34" fillId="29" borderId="12" xfId="0" applyFont="1" applyFill="1" applyBorder="1" applyAlignment="1">
      <alignment horizontal="center"/>
    </xf>
    <xf numFmtId="0" fontId="34" fillId="29" borderId="13" xfId="0" applyFont="1" applyFill="1" applyBorder="1" applyAlignment="1">
      <alignment horizontal="center"/>
    </xf>
    <xf numFmtId="0" fontId="34" fillId="29" borderId="14" xfId="0" applyFont="1" applyFill="1" applyBorder="1" applyAlignment="1">
      <alignment horizontal="center"/>
    </xf>
    <xf numFmtId="0" fontId="34" fillId="29" borderId="15" xfId="0" applyFont="1" applyFill="1" applyBorder="1" applyAlignment="1">
      <alignment horizontal="center"/>
    </xf>
    <xf numFmtId="1" fontId="35" fillId="30" borderId="2" xfId="0" applyNumberFormat="1" applyFont="1" applyFill="1" applyBorder="1" applyAlignment="1">
      <alignment horizontal="center"/>
    </xf>
    <xf numFmtId="0" fontId="39" fillId="4" borderId="0" xfId="0" applyFont="1" applyFill="1" applyAlignment="1">
      <alignment horizontal="center" vertical="center" wrapText="1"/>
    </xf>
    <xf numFmtId="0" fontId="39" fillId="0" borderId="13" xfId="0" applyFont="1" applyBorder="1" applyAlignment="1">
      <alignment horizontal="center" vertical="center" wrapText="1"/>
    </xf>
    <xf numFmtId="0" fontId="42" fillId="0" borderId="12" xfId="0" applyFont="1" applyBorder="1"/>
    <xf numFmtId="164" fontId="41" fillId="0" borderId="0" xfId="0" applyNumberFormat="1" applyFont="1" applyAlignment="1">
      <alignment horizontal="center"/>
    </xf>
    <xf numFmtId="0" fontId="41" fillId="0" borderId="13" xfId="0" applyFont="1" applyBorder="1" applyAlignment="1">
      <alignment horizontal="center"/>
    </xf>
    <xf numFmtId="0" fontId="42" fillId="18" borderId="12" xfId="0" applyFont="1" applyFill="1" applyBorder="1"/>
    <xf numFmtId="0" fontId="42" fillId="0" borderId="14" xfId="0" applyFont="1" applyBorder="1" applyAlignment="1">
      <alignment horizontal="left" vertical="center"/>
    </xf>
    <xf numFmtId="164" fontId="41" fillId="0" borderId="21" xfId="0" applyNumberFormat="1" applyFont="1" applyBorder="1" applyAlignment="1">
      <alignment horizontal="center"/>
    </xf>
    <xf numFmtId="0" fontId="41" fillId="0" borderId="15" xfId="0" applyFont="1" applyBorder="1" applyAlignment="1">
      <alignment horizontal="center"/>
    </xf>
    <xf numFmtId="0" fontId="43" fillId="0" borderId="0" xfId="0" applyFont="1"/>
    <xf numFmtId="0" fontId="37" fillId="21" borderId="28" xfId="0" applyFont="1" applyFill="1" applyBorder="1" applyAlignment="1">
      <alignment horizontal="center" vertical="center"/>
    </xf>
    <xf numFmtId="0" fontId="44" fillId="21" borderId="30" xfId="0" applyFont="1" applyFill="1" applyBorder="1" applyAlignment="1">
      <alignment horizontal="center" vertical="center"/>
    </xf>
    <xf numFmtId="0" fontId="44" fillId="21" borderId="26" xfId="0" applyFont="1" applyFill="1" applyBorder="1" applyAlignment="1">
      <alignment horizontal="center" vertical="center"/>
    </xf>
    <xf numFmtId="0" fontId="44" fillId="20" borderId="26" xfId="0" applyFont="1" applyFill="1" applyBorder="1" applyAlignment="1">
      <alignment horizontal="center" vertical="center"/>
    </xf>
    <xf numFmtId="0" fontId="44" fillId="21" borderId="26" xfId="0" applyFont="1" applyFill="1" applyBorder="1" applyAlignment="1">
      <alignment horizontal="center" vertical="center" wrapText="1"/>
    </xf>
    <xf numFmtId="0" fontId="44" fillId="21" borderId="27" xfId="0" applyFont="1" applyFill="1" applyBorder="1" applyAlignment="1">
      <alignment horizontal="center" vertical="center"/>
    </xf>
    <xf numFmtId="0" fontId="43" fillId="0" borderId="39" xfId="0" applyFont="1" applyBorder="1" applyAlignment="1">
      <alignment horizontal="center" vertical="center" wrapText="1"/>
    </xf>
    <xf numFmtId="14" fontId="43" fillId="0" borderId="33" xfId="0" applyNumberFormat="1" applyFont="1" applyBorder="1" applyAlignment="1">
      <alignment horizontal="right" wrapText="1"/>
    </xf>
    <xf numFmtId="0" fontId="37" fillId="0" borderId="35" xfId="0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37" fillId="26" borderId="36" xfId="0" applyFont="1" applyFill="1" applyBorder="1" applyAlignment="1">
      <alignment horizontal="center" vertical="center" wrapText="1"/>
    </xf>
    <xf numFmtId="0" fontId="43" fillId="0" borderId="40" xfId="0" applyFont="1" applyBorder="1" applyAlignment="1">
      <alignment vertical="center" wrapText="1"/>
    </xf>
    <xf numFmtId="14" fontId="43" fillId="0" borderId="34" xfId="0" applyNumberFormat="1" applyFont="1" applyBorder="1" applyAlignment="1">
      <alignment horizontal="right" wrapText="1"/>
    </xf>
    <xf numFmtId="0" fontId="37" fillId="0" borderId="37" xfId="0" applyFont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37" fillId="26" borderId="38" xfId="0" applyFont="1" applyFill="1" applyBorder="1" applyAlignment="1">
      <alignment horizontal="center" vertical="center" wrapText="1"/>
    </xf>
    <xf numFmtId="0" fontId="43" fillId="0" borderId="41" xfId="0" applyFont="1" applyBorder="1" applyAlignment="1">
      <alignment vertical="center" wrapText="1"/>
    </xf>
    <xf numFmtId="0" fontId="37" fillId="17" borderId="37" xfId="0" applyFont="1" applyFill="1" applyBorder="1" applyAlignment="1">
      <alignment horizontal="center" vertical="center" wrapText="1"/>
    </xf>
    <xf numFmtId="0" fontId="37" fillId="17" borderId="38" xfId="0" applyFont="1" applyFill="1" applyBorder="1" applyAlignment="1">
      <alignment horizontal="center" vertical="center" wrapText="1"/>
    </xf>
    <xf numFmtId="0" fontId="43" fillId="17" borderId="41" xfId="0" applyFont="1" applyFill="1" applyBorder="1" applyAlignment="1">
      <alignment vertical="center" wrapText="1"/>
    </xf>
    <xf numFmtId="0" fontId="43" fillId="17" borderId="37" xfId="0" applyFont="1" applyFill="1" applyBorder="1" applyAlignment="1">
      <alignment vertical="center" wrapText="1"/>
    </xf>
    <xf numFmtId="0" fontId="43" fillId="17" borderId="38" xfId="0" applyFont="1" applyFill="1" applyBorder="1" applyAlignment="1">
      <alignment vertical="center" wrapText="1"/>
    </xf>
    <xf numFmtId="0" fontId="43" fillId="27" borderId="38" xfId="0" applyFont="1" applyFill="1" applyBorder="1" applyAlignment="1">
      <alignment vertical="center" wrapText="1"/>
    </xf>
    <xf numFmtId="0" fontId="43" fillId="0" borderId="38" xfId="0" applyFont="1" applyBorder="1" applyAlignment="1">
      <alignment vertical="center" wrapText="1"/>
    </xf>
    <xf numFmtId="0" fontId="43" fillId="0" borderId="42" xfId="0" applyFont="1" applyBorder="1" applyAlignment="1">
      <alignment horizontal="center" vertical="center" wrapText="1"/>
    </xf>
    <xf numFmtId="14" fontId="43" fillId="0" borderId="43" xfId="0" applyNumberFormat="1" applyFont="1" applyBorder="1" applyAlignment="1">
      <alignment horizontal="right" wrapText="1"/>
    </xf>
    <xf numFmtId="0" fontId="37" fillId="0" borderId="44" xfId="0" applyFont="1" applyBorder="1" applyAlignment="1">
      <alignment horizontal="center" vertical="center" wrapText="1"/>
    </xf>
    <xf numFmtId="0" fontId="43" fillId="0" borderId="45" xfId="0" applyFont="1" applyBorder="1" applyAlignment="1">
      <alignment vertical="center" wrapText="1"/>
    </xf>
    <xf numFmtId="0" fontId="37" fillId="26" borderId="45" xfId="0" applyFont="1" applyFill="1" applyBorder="1" applyAlignment="1">
      <alignment horizontal="center" vertical="center" wrapText="1"/>
    </xf>
    <xf numFmtId="0" fontId="37" fillId="0" borderId="45" xfId="0" applyFont="1" applyBorder="1" applyAlignment="1">
      <alignment horizontal="center" vertical="center" wrapText="1"/>
    </xf>
    <xf numFmtId="0" fontId="43" fillId="0" borderId="46" xfId="0" applyFont="1" applyBorder="1" applyAlignment="1">
      <alignment vertical="center" wrapText="1"/>
    </xf>
    <xf numFmtId="0" fontId="38" fillId="2" borderId="2" xfId="0" applyFont="1" applyFill="1" applyBorder="1" applyAlignment="1">
      <alignment horizontal="center" vertical="center" wrapText="1"/>
    </xf>
    <xf numFmtId="0" fontId="39" fillId="21" borderId="31" xfId="0" applyFont="1" applyFill="1" applyBorder="1" applyAlignment="1">
      <alignment horizontal="center" vertical="center" wrapText="1"/>
    </xf>
    <xf numFmtId="0" fontId="39" fillId="5" borderId="8" xfId="0" applyFont="1" applyFill="1" applyBorder="1" applyAlignment="1">
      <alignment horizontal="center" vertical="center" wrapText="1"/>
    </xf>
    <xf numFmtId="0" fontId="41" fillId="21" borderId="13" xfId="0" applyFont="1" applyFill="1" applyBorder="1" applyAlignment="1">
      <alignment horizontal="center"/>
    </xf>
    <xf numFmtId="0" fontId="37" fillId="21" borderId="13" xfId="0" applyFont="1" applyFill="1" applyBorder="1" applyAlignment="1">
      <alignment horizontal="center"/>
    </xf>
    <xf numFmtId="0" fontId="39" fillId="5" borderId="29" xfId="0" applyFont="1" applyFill="1" applyBorder="1" applyAlignment="1">
      <alignment horizontal="center" vertical="center" wrapText="1"/>
    </xf>
    <xf numFmtId="0" fontId="41" fillId="21" borderId="15" xfId="0" applyFont="1" applyFill="1" applyBorder="1" applyAlignment="1">
      <alignment horizontal="center"/>
    </xf>
    <xf numFmtId="0" fontId="37" fillId="0" borderId="2" xfId="0" applyFont="1" applyBorder="1" applyAlignment="1">
      <alignment horizontal="center" vertical="center"/>
    </xf>
    <xf numFmtId="0" fontId="39" fillId="22" borderId="18" xfId="0" applyFont="1" applyFill="1" applyBorder="1" applyAlignment="1">
      <alignment horizontal="center" vertical="center" wrapText="1"/>
    </xf>
    <xf numFmtId="0" fontId="37" fillId="23" borderId="19" xfId="0" applyFont="1" applyFill="1" applyBorder="1" applyAlignment="1">
      <alignment horizontal="center" vertical="center"/>
    </xf>
    <xf numFmtId="0" fontId="39" fillId="22" borderId="12" xfId="0" applyFont="1" applyFill="1" applyBorder="1" applyAlignment="1">
      <alignment horizontal="center" vertical="center" wrapText="1"/>
    </xf>
    <xf numFmtId="0" fontId="37" fillId="23" borderId="13" xfId="0" applyFont="1" applyFill="1" applyBorder="1" applyAlignment="1">
      <alignment horizontal="center" vertical="center"/>
    </xf>
    <xf numFmtId="0" fontId="39" fillId="22" borderId="14" xfId="0" applyFont="1" applyFill="1" applyBorder="1" applyAlignment="1">
      <alignment horizontal="center" vertical="center" wrapText="1"/>
    </xf>
    <xf numFmtId="0" fontId="37" fillId="23" borderId="15" xfId="0" applyFont="1" applyFill="1" applyBorder="1" applyAlignment="1">
      <alignment horizontal="center" vertical="center"/>
    </xf>
    <xf numFmtId="0" fontId="45" fillId="25" borderId="18" xfId="0" applyFont="1" applyFill="1" applyBorder="1" applyAlignment="1">
      <alignment horizontal="center" vertical="center" wrapText="1"/>
    </xf>
    <xf numFmtId="0" fontId="18" fillId="18" borderId="19" xfId="0" applyFont="1" applyFill="1" applyBorder="1" applyAlignment="1">
      <alignment horizontal="center" vertical="center" wrapText="1"/>
    </xf>
    <xf numFmtId="0" fontId="46" fillId="0" borderId="0" xfId="0" applyFont="1" applyAlignment="1">
      <alignment wrapText="1"/>
    </xf>
    <xf numFmtId="0" fontId="27" fillId="18" borderId="12" xfId="0" applyFont="1" applyFill="1" applyBorder="1" applyAlignment="1">
      <alignment horizontal="left" vertical="center"/>
    </xf>
    <xf numFmtId="0" fontId="19" fillId="18" borderId="13" xfId="0" applyFont="1" applyFill="1" applyBorder="1" applyAlignment="1">
      <alignment horizontal="center"/>
    </xf>
    <xf numFmtId="0" fontId="19" fillId="18" borderId="13" xfId="0" applyFont="1" applyFill="1" applyBorder="1" applyAlignment="1">
      <alignment horizontal="center" vertical="center"/>
    </xf>
    <xf numFmtId="0" fontId="27" fillId="18" borderId="12" xfId="0" applyFont="1" applyFill="1" applyBorder="1" applyAlignment="1">
      <alignment horizontal="left" vertical="center" wrapText="1"/>
    </xf>
    <xf numFmtId="0" fontId="27" fillId="18" borderId="14" xfId="0" applyFont="1" applyFill="1" applyBorder="1" applyAlignment="1">
      <alignment horizontal="left" vertical="center"/>
    </xf>
    <xf numFmtId="0" fontId="19" fillId="18" borderId="15" xfId="0" applyFont="1" applyFill="1" applyBorder="1" applyAlignment="1">
      <alignment horizontal="center"/>
    </xf>
    <xf numFmtId="0" fontId="25" fillId="2" borderId="12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left" vertical="center"/>
    </xf>
    <xf numFmtId="0" fontId="30" fillId="0" borderId="20" xfId="0" applyFont="1" applyBorder="1"/>
    <xf numFmtId="0" fontId="30" fillId="0" borderId="19" xfId="0" applyFont="1" applyBorder="1"/>
    <xf numFmtId="0" fontId="1" fillId="2" borderId="12" xfId="0" applyFont="1" applyFill="1" applyBorder="1" applyAlignment="1">
      <alignment horizontal="center" vertical="center" wrapText="1"/>
    </xf>
    <xf numFmtId="0" fontId="32" fillId="4" borderId="14" xfId="0" applyFont="1" applyFill="1" applyBorder="1" applyAlignment="1">
      <alignment horizontal="center" vertical="center" wrapText="1"/>
    </xf>
    <xf numFmtId="0" fontId="32" fillId="6" borderId="21" xfId="0" applyFont="1" applyFill="1" applyBorder="1" applyAlignment="1">
      <alignment horizontal="center" vertical="center" wrapText="1"/>
    </xf>
    <xf numFmtId="0" fontId="32" fillId="4" borderId="21" xfId="0" applyFont="1" applyFill="1" applyBorder="1" applyAlignment="1">
      <alignment horizontal="center" vertical="center" wrapText="1"/>
    </xf>
    <xf numFmtId="0" fontId="32" fillId="21" borderId="16" xfId="0" applyFont="1" applyFill="1" applyBorder="1" applyAlignment="1">
      <alignment horizontal="center" vertical="center" wrapText="1"/>
    </xf>
    <xf numFmtId="0" fontId="32" fillId="21" borderId="23" xfId="0" applyFont="1" applyFill="1" applyBorder="1" applyAlignment="1">
      <alignment horizontal="center" vertical="center" wrapText="1"/>
    </xf>
    <xf numFmtId="0" fontId="32" fillId="5" borderId="12" xfId="0" applyFont="1" applyFill="1" applyBorder="1" applyAlignment="1">
      <alignment horizontal="center" vertical="center" wrapText="1"/>
    </xf>
    <xf numFmtId="164" fontId="30" fillId="21" borderId="16" xfId="0" applyNumberFormat="1" applyFont="1" applyFill="1" applyBorder="1" applyAlignment="1">
      <alignment horizontal="center"/>
    </xf>
    <xf numFmtId="0" fontId="30" fillId="21" borderId="23" xfId="0" applyFont="1" applyFill="1" applyBorder="1" applyAlignment="1">
      <alignment horizontal="center"/>
    </xf>
    <xf numFmtId="0" fontId="35" fillId="21" borderId="23" xfId="0" applyFont="1" applyFill="1" applyBorder="1" applyAlignment="1">
      <alignment horizontal="center"/>
    </xf>
    <xf numFmtId="0" fontId="32" fillId="5" borderId="14" xfId="0" applyFont="1" applyFill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/>
    </xf>
    <xf numFmtId="0" fontId="30" fillId="21" borderId="25" xfId="0" applyFont="1" applyFill="1" applyBorder="1"/>
    <xf numFmtId="0" fontId="30" fillId="21" borderId="32" xfId="0" applyFont="1" applyFill="1" applyBorder="1"/>
    <xf numFmtId="0" fontId="7" fillId="2" borderId="0" xfId="0" applyFont="1" applyFill="1" applyAlignment="1">
      <alignment horizontal="center" vertical="center" wrapText="1"/>
    </xf>
    <xf numFmtId="0" fontId="13" fillId="20" borderId="18" xfId="0" applyFont="1" applyFill="1" applyBorder="1" applyAlignment="1">
      <alignment horizontal="center" vertical="center"/>
    </xf>
    <xf numFmtId="0" fontId="13" fillId="20" borderId="20" xfId="0" applyFont="1" applyFill="1" applyBorder="1" applyAlignment="1">
      <alignment horizontal="center" vertical="center"/>
    </xf>
    <xf numFmtId="0" fontId="13" fillId="20" borderId="19" xfId="0" applyFont="1" applyFill="1" applyBorder="1" applyAlignment="1">
      <alignment horizontal="center" vertical="center"/>
    </xf>
    <xf numFmtId="0" fontId="12" fillId="21" borderId="21" xfId="0" applyFont="1" applyFill="1" applyBorder="1" applyAlignment="1">
      <alignment horizontal="center" vertical="center" wrapText="1"/>
    </xf>
    <xf numFmtId="0" fontId="12" fillId="21" borderId="15" xfId="0" applyFont="1" applyFill="1" applyBorder="1" applyAlignment="1">
      <alignment horizontal="center" vertical="center" wrapText="1"/>
    </xf>
    <xf numFmtId="0" fontId="19" fillId="13" borderId="5" xfId="0" applyFont="1" applyFill="1" applyBorder="1" applyAlignment="1">
      <alignment horizontal="center"/>
    </xf>
    <xf numFmtId="0" fontId="19" fillId="13" borderId="3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37" fillId="20" borderId="18" xfId="0" applyFont="1" applyFill="1" applyBorder="1" applyAlignment="1">
      <alignment horizontal="center" vertical="center"/>
    </xf>
    <xf numFmtId="0" fontId="37" fillId="20" borderId="20" xfId="0" applyFont="1" applyFill="1" applyBorder="1" applyAlignment="1">
      <alignment horizontal="center" vertical="center"/>
    </xf>
    <xf numFmtId="0" fontId="37" fillId="20" borderId="1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7" fillId="31" borderId="18" xfId="0" applyFont="1" applyFill="1" applyBorder="1" applyAlignment="1">
      <alignment horizontal="center" vertical="center"/>
    </xf>
    <xf numFmtId="0" fontId="37" fillId="31" borderId="20" xfId="0" applyFont="1" applyFill="1" applyBorder="1" applyAlignment="1">
      <alignment horizontal="center" vertical="center"/>
    </xf>
    <xf numFmtId="0" fontId="37" fillId="31" borderId="19" xfId="0" applyFont="1" applyFill="1" applyBorder="1" applyAlignment="1">
      <alignment horizontal="center" vertical="center"/>
    </xf>
    <xf numFmtId="0" fontId="37" fillId="31" borderId="14" xfId="0" applyFont="1" applyFill="1" applyBorder="1" applyAlignment="1">
      <alignment horizontal="center" vertical="center"/>
    </xf>
    <xf numFmtId="0" fontId="37" fillId="31" borderId="21" xfId="0" applyFont="1" applyFill="1" applyBorder="1" applyAlignment="1">
      <alignment horizontal="center" vertical="center"/>
    </xf>
    <xf numFmtId="0" fontId="37" fillId="31" borderId="15" xfId="0" applyFont="1" applyFill="1" applyBorder="1" applyAlignment="1">
      <alignment horizontal="center" vertical="center"/>
    </xf>
    <xf numFmtId="0" fontId="8" fillId="20" borderId="22" xfId="0" applyFont="1" applyFill="1" applyBorder="1" applyAlignment="1">
      <alignment horizontal="center"/>
    </xf>
    <xf numFmtId="0" fontId="8" fillId="20" borderId="23" xfId="0" applyFont="1" applyFill="1" applyBorder="1" applyAlignment="1">
      <alignment horizontal="center"/>
    </xf>
    <xf numFmtId="0" fontId="8" fillId="20" borderId="24" xfId="0" applyFont="1" applyFill="1" applyBorder="1" applyAlignment="1">
      <alignment horizontal="center"/>
    </xf>
    <xf numFmtId="0" fontId="8" fillId="20" borderId="32" xfId="0" applyFont="1" applyFill="1" applyBorder="1" applyAlignment="1">
      <alignment horizontal="center"/>
    </xf>
    <xf numFmtId="0" fontId="9" fillId="20" borderId="0" xfId="0" applyFont="1" applyFill="1" applyAlignment="1">
      <alignment horizontal="center"/>
    </xf>
    <xf numFmtId="0" fontId="8" fillId="20" borderId="30" xfId="0" applyFont="1" applyFill="1" applyBorder="1" applyAlignment="1">
      <alignment horizontal="center"/>
    </xf>
    <xf numFmtId="0" fontId="8" fillId="20" borderId="27" xfId="0" applyFont="1" applyFill="1" applyBorder="1" applyAlignment="1">
      <alignment horizontal="center"/>
    </xf>
    <xf numFmtId="0" fontId="13" fillId="20" borderId="6" xfId="0" applyFont="1" applyFill="1" applyBorder="1" applyAlignment="1">
      <alignment horizontal="center" vertical="center"/>
    </xf>
    <xf numFmtId="0" fontId="13" fillId="20" borderId="5" xfId="0" applyFont="1" applyFill="1" applyBorder="1" applyAlignment="1">
      <alignment horizontal="center" vertical="center"/>
    </xf>
    <xf numFmtId="0" fontId="13" fillId="20" borderId="31" xfId="0" applyFont="1" applyFill="1" applyBorder="1" applyAlignment="1">
      <alignment horizontal="center" vertical="center"/>
    </xf>
    <xf numFmtId="0" fontId="1" fillId="3" borderId="47" xfId="0" applyFont="1" applyFill="1" applyBorder="1" applyAlignment="1">
      <alignment horizontal="left" vertical="center" wrapText="1"/>
    </xf>
    <xf numFmtId="0" fontId="35" fillId="20" borderId="6" xfId="0" applyFont="1" applyFill="1" applyBorder="1" applyAlignment="1">
      <alignment horizontal="center" vertical="center"/>
    </xf>
    <xf numFmtId="0" fontId="35" fillId="20" borderId="5" xfId="0" applyFont="1" applyFill="1" applyBorder="1" applyAlignment="1">
      <alignment horizontal="center" vertical="center"/>
    </xf>
    <xf numFmtId="0" fontId="35" fillId="20" borderId="3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AEE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DFEC"/>
      <rgbColor rgb="FFE2EFDA"/>
      <rgbColor rgb="FFFCE4D6"/>
      <rgbColor rgb="FF99CCFF"/>
      <rgbColor rgb="FFFF99CC"/>
      <rgbColor rgb="FFCC99FF"/>
      <rgbColor rgb="FFF2DCDB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375623"/>
      <rgbColor rgb="FF833C00"/>
      <rgbColor rgb="FF843C0C"/>
      <rgbColor rgb="FF2F5496"/>
      <rgbColor rgb="FF2F4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00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761800</xdr:colOff>
      <xdr:row>12</xdr:row>
      <xdr:rowOff>228707</xdr:rowOff>
    </xdr:from>
    <xdr:to>
      <xdr:col>15</xdr:col>
      <xdr:colOff>651565</xdr:colOff>
      <xdr:row>19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3EA207E-8479-C2DD-14C2-E86BE4C9F315}"/>
            </a:ext>
          </a:extLst>
        </xdr:cNvPr>
        <xdr:cNvSpPr txBox="1"/>
      </xdr:nvSpPr>
      <xdr:spPr>
        <a:xfrm>
          <a:off x="22557241" y="4621413"/>
          <a:ext cx="4226442" cy="2348646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INSIGHTS</a:t>
          </a:r>
          <a:r>
            <a:rPr lang="en-IN" sz="2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FOR INSTAGRAM</a:t>
          </a:r>
          <a:br>
            <a:rPr lang="en-IN" sz="2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en-IN" sz="2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2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Recommended Post for 10 days = 8 </a:t>
          </a:r>
          <a:endParaRPr lang="en-IN" sz="2000">
            <a:effectLst/>
          </a:endParaRPr>
        </a:p>
        <a:p>
          <a:r>
            <a:rPr lang="en-IN" sz="2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Photo Post = 3</a:t>
          </a:r>
          <a:endParaRPr lang="en-IN" sz="2000" b="1">
            <a:effectLst/>
          </a:endParaRPr>
        </a:p>
        <a:p>
          <a:r>
            <a:rPr lang="en-IN" sz="2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Video Post = 4</a:t>
          </a:r>
          <a:br>
            <a:rPr lang="en-IN" sz="2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IN" sz="2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Carousel = 1</a:t>
          </a:r>
          <a:br>
            <a:rPr lang="en-IN" sz="2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IN" sz="2000">
            <a:effectLst/>
          </a:endParaRPr>
        </a:p>
        <a:p>
          <a:endParaRPr lang="en-IN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8"/>
  <sheetViews>
    <sheetView zoomScale="52" zoomScaleNormal="69" workbookViewId="0">
      <pane xSplit="1" topLeftCell="E1" activePane="topRight" state="frozen"/>
      <selection activeCell="A57" sqref="A57"/>
      <selection pane="topRight" activeCell="G89" sqref="G89"/>
    </sheetView>
  </sheetViews>
  <sheetFormatPr defaultColWidth="8.6640625" defaultRowHeight="14.4" x14ac:dyDescent="0.3"/>
  <cols>
    <col min="1" max="1" width="59.109375" customWidth="1"/>
    <col min="2" max="2" width="18" customWidth="1"/>
    <col min="3" max="3" width="26.5546875" customWidth="1"/>
    <col min="4" max="4" width="20.6640625" customWidth="1"/>
    <col min="5" max="5" width="64.77734375" customWidth="1"/>
    <col min="6" max="6" width="26.33203125" customWidth="1"/>
    <col min="7" max="9" width="28" customWidth="1"/>
    <col min="10" max="12" width="24.44140625" customWidth="1"/>
    <col min="13" max="13" width="23.33203125" customWidth="1"/>
    <col min="14" max="14" width="21.109375" customWidth="1"/>
    <col min="15" max="15" width="20.77734375" customWidth="1"/>
  </cols>
  <sheetData>
    <row r="1" spans="1:14" ht="30" customHeight="1" x14ac:dyDescent="0.3">
      <c r="A1" s="254" t="s">
        <v>280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</row>
    <row r="2" spans="1:14" ht="18" customHeight="1" x14ac:dyDescent="0.3">
      <c r="A2" s="255"/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</row>
    <row r="3" spans="1:14" ht="10.199999999999999" customHeight="1" x14ac:dyDescent="0.3"/>
    <row r="4" spans="1:14" ht="28.2" customHeight="1" thickBot="1" x14ac:dyDescent="0.4">
      <c r="A4" s="256" t="s">
        <v>0</v>
      </c>
      <c r="B4" s="256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</row>
    <row r="5" spans="1:14" ht="66.599999999999994" customHeight="1" thickBot="1" x14ac:dyDescent="0.35">
      <c r="A5" s="80" t="s">
        <v>1</v>
      </c>
      <c r="B5" s="80" t="s">
        <v>2</v>
      </c>
      <c r="C5" s="80" t="s">
        <v>237</v>
      </c>
      <c r="D5" s="81" t="s">
        <v>238</v>
      </c>
      <c r="E5" s="154" t="s">
        <v>243</v>
      </c>
      <c r="F5" s="154" t="s">
        <v>244</v>
      </c>
      <c r="G5" s="78" t="s">
        <v>239</v>
      </c>
      <c r="H5" s="83" t="s">
        <v>243</v>
      </c>
      <c r="I5" s="83" t="s">
        <v>244</v>
      </c>
      <c r="J5" s="78" t="s">
        <v>240</v>
      </c>
      <c r="K5" s="83" t="s">
        <v>243</v>
      </c>
      <c r="L5" s="83" t="s">
        <v>244</v>
      </c>
      <c r="M5" s="84" t="s">
        <v>242</v>
      </c>
      <c r="N5" s="85" t="s">
        <v>241</v>
      </c>
    </row>
    <row r="6" spans="1:14" ht="29.4" customHeight="1" x14ac:dyDescent="0.35">
      <c r="A6" s="86" t="s">
        <v>3</v>
      </c>
      <c r="B6" s="87">
        <v>16</v>
      </c>
      <c r="C6" s="87"/>
      <c r="D6" s="88">
        <v>7</v>
      </c>
      <c r="E6" s="155">
        <v>6</v>
      </c>
      <c r="F6" s="156">
        <v>1</v>
      </c>
      <c r="G6" s="91">
        <v>3</v>
      </c>
      <c r="H6" s="92">
        <v>1</v>
      </c>
      <c r="I6" s="93">
        <v>2</v>
      </c>
      <c r="J6" s="91">
        <v>6</v>
      </c>
      <c r="K6" s="92">
        <v>2</v>
      </c>
      <c r="L6" s="93">
        <v>4</v>
      </c>
      <c r="M6" s="94"/>
      <c r="N6" s="95"/>
    </row>
    <row r="7" spans="1:14" ht="34.799999999999997" customHeight="1" x14ac:dyDescent="0.35">
      <c r="A7" s="96" t="s">
        <v>4</v>
      </c>
      <c r="B7" s="97">
        <v>20</v>
      </c>
      <c r="C7" s="98"/>
      <c r="D7" s="88">
        <v>3</v>
      </c>
      <c r="E7" s="155">
        <v>2</v>
      </c>
      <c r="F7" s="156">
        <v>1</v>
      </c>
      <c r="G7" s="91">
        <v>12</v>
      </c>
      <c r="H7" s="99">
        <v>9</v>
      </c>
      <c r="I7" s="100">
        <v>3</v>
      </c>
      <c r="J7" s="91">
        <v>5</v>
      </c>
      <c r="K7" s="99">
        <v>2</v>
      </c>
      <c r="L7" s="100">
        <v>3</v>
      </c>
      <c r="M7" s="94"/>
      <c r="N7" s="95"/>
    </row>
    <row r="8" spans="1:14" ht="33" customHeight="1" x14ac:dyDescent="0.35">
      <c r="A8" s="101" t="s">
        <v>5</v>
      </c>
      <c r="B8" s="102">
        <v>22</v>
      </c>
      <c r="C8" s="103"/>
      <c r="D8" s="88">
        <v>13</v>
      </c>
      <c r="E8" s="155">
        <v>4</v>
      </c>
      <c r="F8" s="156">
        <v>9</v>
      </c>
      <c r="G8" s="91">
        <v>5</v>
      </c>
      <c r="H8" s="99">
        <v>4</v>
      </c>
      <c r="I8" s="100">
        <v>1</v>
      </c>
      <c r="J8" s="91">
        <v>4</v>
      </c>
      <c r="K8" s="99">
        <v>4</v>
      </c>
      <c r="L8" s="100">
        <v>0</v>
      </c>
      <c r="M8" s="94"/>
      <c r="N8" s="95"/>
    </row>
    <row r="9" spans="1:14" ht="30.6" customHeight="1" x14ac:dyDescent="0.35">
      <c r="A9" s="96" t="s">
        <v>6</v>
      </c>
      <c r="B9" s="104">
        <v>19</v>
      </c>
      <c r="C9" s="98"/>
      <c r="D9" s="88">
        <v>10</v>
      </c>
      <c r="E9" s="155">
        <v>4</v>
      </c>
      <c r="F9" s="156">
        <v>6</v>
      </c>
      <c r="G9" s="91">
        <v>7</v>
      </c>
      <c r="H9" s="99">
        <v>3</v>
      </c>
      <c r="I9" s="100">
        <v>4</v>
      </c>
      <c r="J9" s="91">
        <v>2</v>
      </c>
      <c r="K9" s="99">
        <v>2</v>
      </c>
      <c r="L9" s="100">
        <v>0</v>
      </c>
      <c r="M9" s="94"/>
      <c r="N9" s="95"/>
    </row>
    <row r="10" spans="1:14" ht="31.8" customHeight="1" x14ac:dyDescent="0.35">
      <c r="A10" s="86" t="s">
        <v>7</v>
      </c>
      <c r="B10" s="87">
        <v>26</v>
      </c>
      <c r="C10" s="87"/>
      <c r="D10" s="88">
        <v>7</v>
      </c>
      <c r="E10" s="155">
        <v>4</v>
      </c>
      <c r="F10" s="156">
        <v>3</v>
      </c>
      <c r="G10" s="91">
        <v>10</v>
      </c>
      <c r="H10" s="99">
        <v>4</v>
      </c>
      <c r="I10" s="100">
        <v>6</v>
      </c>
      <c r="J10" s="91">
        <v>9</v>
      </c>
      <c r="K10" s="99">
        <v>5</v>
      </c>
      <c r="L10" s="100">
        <v>4</v>
      </c>
      <c r="M10" s="94"/>
      <c r="N10" s="95"/>
    </row>
    <row r="11" spans="1:14" ht="27" customHeight="1" x14ac:dyDescent="0.35">
      <c r="A11" s="96" t="s">
        <v>8</v>
      </c>
      <c r="B11" s="98">
        <v>28</v>
      </c>
      <c r="C11" s="98"/>
      <c r="D11" s="88">
        <v>10</v>
      </c>
      <c r="E11" s="155">
        <v>3</v>
      </c>
      <c r="F11" s="156">
        <v>7</v>
      </c>
      <c r="G11" s="91">
        <v>9</v>
      </c>
      <c r="H11" s="99">
        <v>3</v>
      </c>
      <c r="I11" s="100">
        <v>6</v>
      </c>
      <c r="J11" s="91">
        <v>9</v>
      </c>
      <c r="K11" s="99">
        <v>2</v>
      </c>
      <c r="L11" s="100">
        <v>7</v>
      </c>
      <c r="M11" s="94"/>
      <c r="N11" s="95"/>
    </row>
    <row r="12" spans="1:14" ht="34.200000000000003" customHeight="1" thickBot="1" x14ac:dyDescent="0.4">
      <c r="A12" s="105" t="s">
        <v>9</v>
      </c>
      <c r="B12" s="106">
        <v>14</v>
      </c>
      <c r="C12" s="106"/>
      <c r="D12" s="88">
        <v>2</v>
      </c>
      <c r="E12" s="157">
        <v>0</v>
      </c>
      <c r="F12" s="158">
        <v>2</v>
      </c>
      <c r="G12" s="91">
        <v>6</v>
      </c>
      <c r="H12" s="109">
        <v>5</v>
      </c>
      <c r="I12" s="110">
        <v>1</v>
      </c>
      <c r="J12" s="91">
        <v>6</v>
      </c>
      <c r="K12" s="109">
        <v>2</v>
      </c>
      <c r="L12" s="110">
        <v>4</v>
      </c>
      <c r="M12" s="94"/>
      <c r="N12" s="95"/>
    </row>
    <row r="13" spans="1:14" ht="19.5" customHeight="1" thickBot="1" x14ac:dyDescent="0.4">
      <c r="A13" s="111" t="s">
        <v>10</v>
      </c>
      <c r="B13" s="112">
        <f>AVERAGE(B6:B12)</f>
        <v>20.714285714285715</v>
      </c>
      <c r="C13" s="113">
        <v>23</v>
      </c>
      <c r="D13" s="114">
        <f t="shared" ref="D13:L13" si="0">AVERAGE(D6:D12)</f>
        <v>7.4285714285714288</v>
      </c>
      <c r="E13" s="115">
        <f t="shared" si="0"/>
        <v>3.2857142857142856</v>
      </c>
      <c r="F13" s="116">
        <f t="shared" si="0"/>
        <v>4.1428571428571432</v>
      </c>
      <c r="G13" s="159">
        <f t="shared" si="0"/>
        <v>7.4285714285714288</v>
      </c>
      <c r="H13" s="115">
        <f t="shared" si="0"/>
        <v>4.1428571428571432</v>
      </c>
      <c r="I13" s="116">
        <f t="shared" si="0"/>
        <v>3.2857142857142856</v>
      </c>
      <c r="J13" s="159">
        <f t="shared" si="0"/>
        <v>5.8571428571428568</v>
      </c>
      <c r="K13" s="117">
        <f t="shared" si="0"/>
        <v>2.7142857142857144</v>
      </c>
      <c r="L13" s="118">
        <f t="shared" si="0"/>
        <v>3.1428571428571428</v>
      </c>
      <c r="M13" s="119">
        <f>AVERAGE(D13:K13)</f>
        <v>4.7857142857142856</v>
      </c>
      <c r="N13" s="120">
        <v>8</v>
      </c>
    </row>
    <row r="15" spans="1:14" ht="38.4" customHeight="1" thickBot="1" x14ac:dyDescent="0.35">
      <c r="A15" s="257"/>
      <c r="B15" s="257"/>
    </row>
    <row r="16" spans="1:14" ht="27.75" customHeight="1" thickBot="1" x14ac:dyDescent="0.45">
      <c r="A16" s="33"/>
      <c r="B16" s="33"/>
      <c r="E16" s="121"/>
      <c r="F16" s="251" t="s">
        <v>259</v>
      </c>
      <c r="G16" s="252"/>
      <c r="H16" s="252"/>
      <c r="I16" s="252"/>
      <c r="J16" s="253"/>
      <c r="K16" s="121"/>
      <c r="L16" s="121"/>
      <c r="M16" s="121"/>
      <c r="N16" s="121"/>
    </row>
    <row r="17" spans="1:14" ht="18" customHeight="1" x14ac:dyDescent="0.4">
      <c r="A17" s="34"/>
      <c r="B17" s="23"/>
      <c r="D17" s="24"/>
      <c r="E17" s="122" t="s">
        <v>258</v>
      </c>
      <c r="F17" s="122"/>
      <c r="G17" s="123"/>
      <c r="H17" s="123"/>
      <c r="I17" s="123"/>
      <c r="J17" s="123"/>
      <c r="K17" s="123"/>
      <c r="L17" s="123"/>
      <c r="M17" s="123"/>
      <c r="N17" s="124"/>
    </row>
    <row r="18" spans="1:14" ht="28.8" customHeight="1" thickBot="1" x14ac:dyDescent="0.45">
      <c r="A18" s="34"/>
      <c r="B18" s="23"/>
      <c r="D18" s="28"/>
      <c r="E18" s="125" t="s">
        <v>11</v>
      </c>
      <c r="F18" s="126" t="s">
        <v>3</v>
      </c>
      <c r="G18" s="127" t="s">
        <v>4</v>
      </c>
      <c r="H18" s="128" t="s">
        <v>5</v>
      </c>
      <c r="I18" s="127" t="s">
        <v>6</v>
      </c>
      <c r="J18" s="128" t="s">
        <v>7</v>
      </c>
      <c r="K18" s="127" t="s">
        <v>8</v>
      </c>
      <c r="L18" s="128" t="s">
        <v>9</v>
      </c>
      <c r="M18" s="129" t="s">
        <v>260</v>
      </c>
      <c r="N18" s="130" t="s">
        <v>261</v>
      </c>
    </row>
    <row r="19" spans="1:14" ht="32.4" customHeight="1" x14ac:dyDescent="0.4">
      <c r="A19" s="34"/>
      <c r="B19" s="23"/>
      <c r="D19" s="37"/>
      <c r="E19" s="131" t="s">
        <v>15</v>
      </c>
      <c r="F19" s="132">
        <v>2</v>
      </c>
      <c r="G19" s="133">
        <v>1</v>
      </c>
      <c r="H19" s="133">
        <v>6</v>
      </c>
      <c r="I19" s="133">
        <v>4</v>
      </c>
      <c r="J19" s="133">
        <v>2</v>
      </c>
      <c r="K19" s="133">
        <v>3</v>
      </c>
      <c r="L19" s="133">
        <v>4</v>
      </c>
      <c r="M19" s="134">
        <f>AVERAGE(F19:L19)</f>
        <v>3.1428571428571428</v>
      </c>
      <c r="N19" s="135">
        <v>3</v>
      </c>
    </row>
    <row r="20" spans="1:14" ht="34.200000000000003" customHeight="1" x14ac:dyDescent="0.4">
      <c r="A20" s="34"/>
      <c r="B20" s="23"/>
      <c r="D20" s="37"/>
      <c r="E20" s="131" t="s">
        <v>18</v>
      </c>
      <c r="F20" s="132">
        <v>1</v>
      </c>
      <c r="G20" s="133">
        <v>3</v>
      </c>
      <c r="H20" s="133">
        <v>7</v>
      </c>
      <c r="I20" s="133">
        <v>2</v>
      </c>
      <c r="J20" s="133">
        <v>3</v>
      </c>
      <c r="K20" s="133">
        <v>2</v>
      </c>
      <c r="L20" s="133">
        <v>1</v>
      </c>
      <c r="M20" s="134">
        <f t="shared" ref="M20:M25" si="1">AVERAGE(F20:L20)</f>
        <v>2.7142857142857144</v>
      </c>
      <c r="N20" s="135">
        <v>3</v>
      </c>
    </row>
    <row r="21" spans="1:14" ht="33" customHeight="1" x14ac:dyDescent="0.4">
      <c r="A21" s="34"/>
      <c r="B21" s="23"/>
      <c r="D21" s="37"/>
      <c r="E21" s="131" t="s">
        <v>16</v>
      </c>
      <c r="F21" s="132">
        <v>5</v>
      </c>
      <c r="G21" s="133">
        <v>5</v>
      </c>
      <c r="H21" s="133">
        <v>3</v>
      </c>
      <c r="I21" s="133">
        <v>4</v>
      </c>
      <c r="J21" s="133">
        <v>3</v>
      </c>
      <c r="K21" s="133">
        <v>6</v>
      </c>
      <c r="L21" s="133">
        <v>4</v>
      </c>
      <c r="M21" s="134">
        <f t="shared" si="1"/>
        <v>4.2857142857142856</v>
      </c>
      <c r="N21" s="135">
        <v>4</v>
      </c>
    </row>
    <row r="22" spans="1:14" ht="36.6" customHeight="1" x14ac:dyDescent="0.4">
      <c r="A22" s="34"/>
      <c r="B22" s="23"/>
      <c r="D22" s="37"/>
      <c r="E22" s="131" t="s">
        <v>13</v>
      </c>
      <c r="F22" s="132">
        <v>3</v>
      </c>
      <c r="G22" s="133">
        <v>2</v>
      </c>
      <c r="H22" s="133">
        <v>3</v>
      </c>
      <c r="I22" s="133">
        <v>5</v>
      </c>
      <c r="J22" s="133">
        <v>4</v>
      </c>
      <c r="K22" s="133">
        <v>6</v>
      </c>
      <c r="L22" s="133">
        <v>1</v>
      </c>
      <c r="M22" s="134">
        <f t="shared" si="1"/>
        <v>3.4285714285714284</v>
      </c>
      <c r="N22" s="135">
        <v>3</v>
      </c>
    </row>
    <row r="23" spans="1:14" ht="36.6" customHeight="1" x14ac:dyDescent="0.4">
      <c r="A23" s="34"/>
      <c r="B23" s="23"/>
      <c r="D23" s="37"/>
      <c r="E23" s="131" t="s">
        <v>14</v>
      </c>
      <c r="F23" s="132">
        <v>2</v>
      </c>
      <c r="G23" s="133">
        <v>4</v>
      </c>
      <c r="H23" s="133">
        <v>0</v>
      </c>
      <c r="I23" s="133">
        <v>5</v>
      </c>
      <c r="J23" s="133">
        <v>3</v>
      </c>
      <c r="K23" s="133">
        <v>4</v>
      </c>
      <c r="L23" s="133">
        <v>2</v>
      </c>
      <c r="M23" s="134">
        <f t="shared" si="1"/>
        <v>2.8571428571428572</v>
      </c>
      <c r="N23" s="135">
        <v>3</v>
      </c>
    </row>
    <row r="24" spans="1:14" ht="37.200000000000003" customHeight="1" x14ac:dyDescent="0.4">
      <c r="A24" s="35"/>
      <c r="D24" s="37"/>
      <c r="E24" s="131" t="s">
        <v>17</v>
      </c>
      <c r="F24" s="132">
        <v>3</v>
      </c>
      <c r="G24" s="133">
        <v>2</v>
      </c>
      <c r="H24" s="133">
        <v>2</v>
      </c>
      <c r="I24" s="133">
        <v>4</v>
      </c>
      <c r="J24" s="133">
        <v>3</v>
      </c>
      <c r="K24" s="133">
        <v>4</v>
      </c>
      <c r="L24" s="133">
        <v>1</v>
      </c>
      <c r="M24" s="134">
        <f t="shared" si="1"/>
        <v>2.7142857142857144</v>
      </c>
      <c r="N24" s="135">
        <v>3</v>
      </c>
    </row>
    <row r="25" spans="1:14" ht="27" customHeight="1" x14ac:dyDescent="0.4">
      <c r="D25" s="37"/>
      <c r="E25" s="131" t="s">
        <v>12</v>
      </c>
      <c r="F25" s="132">
        <v>0</v>
      </c>
      <c r="G25" s="133">
        <v>3</v>
      </c>
      <c r="H25" s="133">
        <v>1</v>
      </c>
      <c r="I25" s="133">
        <v>0</v>
      </c>
      <c r="J25" s="133">
        <v>8</v>
      </c>
      <c r="K25" s="133">
        <v>3</v>
      </c>
      <c r="L25" s="133">
        <v>1</v>
      </c>
      <c r="M25" s="134">
        <f t="shared" si="1"/>
        <v>2.2857142857142856</v>
      </c>
      <c r="N25" s="136">
        <v>2</v>
      </c>
    </row>
    <row r="26" spans="1:14" ht="33.6" customHeight="1" thickBot="1" x14ac:dyDescent="0.45">
      <c r="E26" s="137" t="s">
        <v>268</v>
      </c>
      <c r="F26" s="138">
        <f t="shared" ref="F26:L26" si="2">SUM(F19:F25)</f>
        <v>16</v>
      </c>
      <c r="G26" s="138">
        <f t="shared" si="2"/>
        <v>20</v>
      </c>
      <c r="H26" s="138">
        <f t="shared" si="2"/>
        <v>22</v>
      </c>
      <c r="I26" s="138">
        <f t="shared" si="2"/>
        <v>24</v>
      </c>
      <c r="J26" s="138">
        <f t="shared" si="2"/>
        <v>26</v>
      </c>
      <c r="K26" s="138">
        <f t="shared" si="2"/>
        <v>28</v>
      </c>
      <c r="L26" s="138">
        <f t="shared" si="2"/>
        <v>14</v>
      </c>
      <c r="M26" s="139"/>
      <c r="N26" s="140"/>
    </row>
    <row r="27" spans="1:14" ht="24.75" customHeight="1" x14ac:dyDescent="0.3"/>
    <row r="28" spans="1:14" ht="18" customHeight="1" thickBot="1" x14ac:dyDescent="0.35"/>
    <row r="29" spans="1:14" ht="34.799999999999997" customHeight="1" thickBot="1" x14ac:dyDescent="0.35">
      <c r="F29" s="243" t="s">
        <v>267</v>
      </c>
      <c r="G29" s="244"/>
      <c r="H29" s="244"/>
      <c r="I29" s="244"/>
      <c r="J29" s="245"/>
    </row>
    <row r="30" spans="1:14" ht="18" customHeight="1" x14ac:dyDescent="0.3">
      <c r="E30" s="29"/>
      <c r="F30" s="29"/>
      <c r="G30" s="25"/>
      <c r="H30" s="25"/>
      <c r="I30" s="25"/>
      <c r="J30" s="25"/>
      <c r="K30" s="25"/>
      <c r="L30" s="25"/>
      <c r="M30" s="25"/>
      <c r="N30" s="26"/>
    </row>
    <row r="31" spans="1:14" ht="19.2" customHeight="1" thickBot="1" x14ac:dyDescent="0.35">
      <c r="E31" s="141" t="s">
        <v>245</v>
      </c>
      <c r="F31" s="126" t="s">
        <v>3</v>
      </c>
      <c r="G31" s="142" t="s">
        <v>4</v>
      </c>
      <c r="H31" s="128" t="s">
        <v>5</v>
      </c>
      <c r="I31" s="142" t="s">
        <v>6</v>
      </c>
      <c r="J31" s="128" t="s">
        <v>7</v>
      </c>
      <c r="K31" s="142" t="s">
        <v>8</v>
      </c>
      <c r="L31" s="128" t="s">
        <v>9</v>
      </c>
      <c r="M31" s="143" t="s">
        <v>269</v>
      </c>
      <c r="N31" s="144" t="s">
        <v>260</v>
      </c>
    </row>
    <row r="32" spans="1:14" ht="20.399999999999999" customHeight="1" x14ac:dyDescent="0.4">
      <c r="E32" s="131" t="s">
        <v>139</v>
      </c>
      <c r="F32" s="145">
        <v>5</v>
      </c>
      <c r="G32" s="146">
        <v>0</v>
      </c>
      <c r="H32" s="146">
        <v>5</v>
      </c>
      <c r="I32" s="147">
        <v>9</v>
      </c>
      <c r="J32" s="146">
        <v>1</v>
      </c>
      <c r="K32" s="146">
        <v>5</v>
      </c>
      <c r="L32" s="146">
        <v>2</v>
      </c>
      <c r="M32" s="148">
        <f>SUM(F32:L32)</f>
        <v>27</v>
      </c>
      <c r="N32" s="149">
        <f>AVERAGE(F32:L32)</f>
        <v>3.8571428571428572</v>
      </c>
    </row>
    <row r="33" spans="3:14" ht="18" customHeight="1" x14ac:dyDescent="0.4">
      <c r="E33" s="131" t="s">
        <v>79</v>
      </c>
      <c r="F33" s="145">
        <v>3</v>
      </c>
      <c r="G33" s="146">
        <v>1</v>
      </c>
      <c r="H33" s="146">
        <v>9</v>
      </c>
      <c r="I33" s="147">
        <v>2</v>
      </c>
      <c r="J33" s="146">
        <v>1</v>
      </c>
      <c r="K33" s="146">
        <v>1</v>
      </c>
      <c r="L33" s="146">
        <v>2</v>
      </c>
      <c r="M33" s="148">
        <f t="shared" ref="M33:M39" si="3">SUM(F33:L33)</f>
        <v>19</v>
      </c>
      <c r="N33" s="149">
        <f t="shared" ref="N33:N39" si="4">AVERAGE(F33:L33)</f>
        <v>2.7142857142857144</v>
      </c>
    </row>
    <row r="34" spans="3:14" ht="18" customHeight="1" x14ac:dyDescent="0.4">
      <c r="E34" s="131" t="s">
        <v>92</v>
      </c>
      <c r="F34" s="145">
        <v>1</v>
      </c>
      <c r="G34" s="146">
        <v>1</v>
      </c>
      <c r="H34" s="146">
        <v>0</v>
      </c>
      <c r="I34" s="147">
        <v>3</v>
      </c>
      <c r="J34" s="146">
        <v>1</v>
      </c>
      <c r="K34" s="146">
        <v>4</v>
      </c>
      <c r="L34" s="146">
        <v>0</v>
      </c>
      <c r="M34" s="148">
        <f t="shared" si="3"/>
        <v>10</v>
      </c>
      <c r="N34" s="149">
        <f t="shared" si="4"/>
        <v>1.4285714285714286</v>
      </c>
    </row>
    <row r="35" spans="3:14" ht="21" x14ac:dyDescent="0.4">
      <c r="E35" s="131" t="s">
        <v>262</v>
      </c>
      <c r="F35" s="145">
        <v>4</v>
      </c>
      <c r="G35" s="146">
        <v>0</v>
      </c>
      <c r="H35" s="146">
        <v>2</v>
      </c>
      <c r="I35" s="147">
        <v>3</v>
      </c>
      <c r="J35" s="146">
        <v>1</v>
      </c>
      <c r="K35" s="146">
        <v>0</v>
      </c>
      <c r="L35" s="146">
        <v>0</v>
      </c>
      <c r="M35" s="148">
        <f t="shared" si="3"/>
        <v>10</v>
      </c>
      <c r="N35" s="149">
        <f t="shared" si="4"/>
        <v>1.4285714285714286</v>
      </c>
    </row>
    <row r="36" spans="3:14" ht="21" x14ac:dyDescent="0.4">
      <c r="E36" s="131" t="s">
        <v>265</v>
      </c>
      <c r="F36" s="145">
        <v>0</v>
      </c>
      <c r="G36" s="146">
        <v>0</v>
      </c>
      <c r="H36" s="146">
        <v>0</v>
      </c>
      <c r="I36" s="147">
        <v>2</v>
      </c>
      <c r="J36" s="146">
        <v>0</v>
      </c>
      <c r="K36" s="146">
        <v>1</v>
      </c>
      <c r="L36" s="146">
        <v>0</v>
      </c>
      <c r="M36" s="148">
        <f t="shared" si="3"/>
        <v>3</v>
      </c>
      <c r="N36" s="149">
        <f t="shared" si="4"/>
        <v>0.42857142857142855</v>
      </c>
    </row>
    <row r="37" spans="3:14" ht="21" x14ac:dyDescent="0.4">
      <c r="E37" s="131" t="s">
        <v>254</v>
      </c>
      <c r="F37" s="145">
        <v>0</v>
      </c>
      <c r="G37" s="146">
        <v>1</v>
      </c>
      <c r="H37" s="146">
        <v>2</v>
      </c>
      <c r="I37" s="147">
        <v>3</v>
      </c>
      <c r="J37" s="146">
        <v>4</v>
      </c>
      <c r="K37" s="146">
        <v>7</v>
      </c>
      <c r="L37" s="146">
        <v>0</v>
      </c>
      <c r="M37" s="148">
        <f t="shared" si="3"/>
        <v>17</v>
      </c>
      <c r="N37" s="149">
        <f t="shared" si="4"/>
        <v>2.4285714285714284</v>
      </c>
    </row>
    <row r="38" spans="3:14" ht="21" x14ac:dyDescent="0.4">
      <c r="E38" s="131" t="s">
        <v>255</v>
      </c>
      <c r="F38" s="145">
        <v>1</v>
      </c>
      <c r="G38" s="146">
        <v>1</v>
      </c>
      <c r="H38" s="146">
        <v>0</v>
      </c>
      <c r="I38" s="147">
        <v>2</v>
      </c>
      <c r="J38" s="146">
        <v>2</v>
      </c>
      <c r="K38" s="146">
        <v>5</v>
      </c>
      <c r="L38" s="146">
        <v>0</v>
      </c>
      <c r="M38" s="148">
        <f t="shared" si="3"/>
        <v>11</v>
      </c>
      <c r="N38" s="149">
        <f t="shared" si="4"/>
        <v>1.5714285714285714</v>
      </c>
    </row>
    <row r="39" spans="3:14" ht="21.6" thickBot="1" x14ac:dyDescent="0.45">
      <c r="E39" s="137" t="s">
        <v>266</v>
      </c>
      <c r="F39" s="150">
        <v>0</v>
      </c>
      <c r="G39" s="150">
        <v>0</v>
      </c>
      <c r="H39" s="150">
        <v>0</v>
      </c>
      <c r="I39" s="150">
        <v>0</v>
      </c>
      <c r="J39" s="151">
        <v>0</v>
      </c>
      <c r="K39" s="150">
        <v>0</v>
      </c>
      <c r="L39" s="151">
        <v>0</v>
      </c>
      <c r="M39" s="152">
        <f t="shared" si="3"/>
        <v>0</v>
      </c>
      <c r="N39" s="153">
        <f t="shared" si="4"/>
        <v>0</v>
      </c>
    </row>
    <row r="43" spans="3:14" ht="19.8" x14ac:dyDescent="0.4">
      <c r="C43" s="250"/>
      <c r="D43" s="250"/>
      <c r="E43" s="49"/>
    </row>
    <row r="44" spans="3:14" ht="19.8" x14ac:dyDescent="0.4">
      <c r="C44" s="250"/>
      <c r="D44" s="250"/>
      <c r="E44" s="49"/>
    </row>
    <row r="45" spans="3:14" ht="19.8" x14ac:dyDescent="0.4">
      <c r="C45" s="250"/>
      <c r="D45" s="250"/>
      <c r="E45" s="49"/>
    </row>
    <row r="46" spans="3:14" ht="19.8" x14ac:dyDescent="0.4">
      <c r="C46" s="250"/>
      <c r="D46" s="250"/>
      <c r="E46" s="49"/>
    </row>
    <row r="47" spans="3:14" ht="19.8" x14ac:dyDescent="0.4">
      <c r="C47" s="250"/>
      <c r="D47" s="250"/>
      <c r="E47" s="49"/>
    </row>
    <row r="48" spans="3:14" ht="19.8" x14ac:dyDescent="0.4">
      <c r="C48" s="250"/>
      <c r="D48" s="250"/>
      <c r="E48" s="49"/>
    </row>
    <row r="49" spans="3:15" ht="19.8" x14ac:dyDescent="0.4">
      <c r="C49" s="250"/>
      <c r="D49" s="250"/>
      <c r="E49" s="49"/>
    </row>
    <row r="50" spans="3:15" ht="19.8" x14ac:dyDescent="0.4">
      <c r="C50" s="250"/>
      <c r="D50" s="250"/>
      <c r="E50" s="49"/>
    </row>
    <row r="51" spans="3:15" ht="15.6" x14ac:dyDescent="0.3">
      <c r="E51" s="49"/>
    </row>
    <row r="52" spans="3:15" ht="15.6" x14ac:dyDescent="0.3">
      <c r="E52" s="49"/>
    </row>
    <row r="53" spans="3:15" ht="15.6" x14ac:dyDescent="0.3">
      <c r="E53" s="49"/>
    </row>
    <row r="54" spans="3:15" ht="15.6" x14ac:dyDescent="0.3">
      <c r="E54" s="49"/>
    </row>
    <row r="55" spans="3:15" ht="15.6" x14ac:dyDescent="0.3">
      <c r="E55" s="49"/>
    </row>
    <row r="56" spans="3:15" ht="15.6" x14ac:dyDescent="0.3">
      <c r="E56" s="49"/>
    </row>
    <row r="57" spans="3:15" ht="15.6" x14ac:dyDescent="0.3">
      <c r="E57" s="49"/>
    </row>
    <row r="58" spans="3:15" ht="15.6" x14ac:dyDescent="0.3">
      <c r="E58" s="49"/>
    </row>
    <row r="59" spans="3:15" ht="16.2" thickBot="1" x14ac:dyDescent="0.35">
      <c r="E59" s="49"/>
    </row>
    <row r="60" spans="3:15" ht="33" thickBot="1" x14ac:dyDescent="0.35">
      <c r="G60" s="243" t="s">
        <v>298</v>
      </c>
      <c r="H60" s="244"/>
      <c r="I60" s="244"/>
      <c r="J60" s="244"/>
      <c r="K60" s="245"/>
    </row>
    <row r="61" spans="3:15" ht="23.4" x14ac:dyDescent="0.45">
      <c r="E61" s="29"/>
      <c r="F61" s="62"/>
      <c r="G61" s="63"/>
      <c r="H61" s="63"/>
      <c r="I61" s="63"/>
      <c r="J61" s="63"/>
      <c r="K61" s="63"/>
      <c r="L61" s="63"/>
      <c r="M61" s="63"/>
      <c r="N61" s="63"/>
      <c r="O61" s="64"/>
    </row>
    <row r="62" spans="3:15" ht="22.8" x14ac:dyDescent="0.3">
      <c r="E62" s="30" t="s">
        <v>297</v>
      </c>
      <c r="F62" s="65" t="s">
        <v>3</v>
      </c>
      <c r="G62" s="38" t="s">
        <v>4</v>
      </c>
      <c r="H62" s="65" t="s">
        <v>5</v>
      </c>
      <c r="I62" s="38" t="s">
        <v>6</v>
      </c>
      <c r="J62" s="65" t="s">
        <v>7</v>
      </c>
      <c r="K62" s="38" t="s">
        <v>8</v>
      </c>
      <c r="L62" s="65" t="s">
        <v>9</v>
      </c>
      <c r="M62" s="38" t="s">
        <v>269</v>
      </c>
      <c r="N62" s="38" t="s">
        <v>260</v>
      </c>
      <c r="O62" s="66" t="s">
        <v>299</v>
      </c>
    </row>
    <row r="63" spans="3:15" ht="25.8" x14ac:dyDescent="0.5">
      <c r="E63" s="54" t="s">
        <v>281</v>
      </c>
      <c r="F63" s="51">
        <v>5</v>
      </c>
      <c r="G63" s="52">
        <v>0</v>
      </c>
      <c r="H63" s="52">
        <v>2</v>
      </c>
      <c r="I63" s="53">
        <v>6</v>
      </c>
      <c r="J63" s="52">
        <v>0</v>
      </c>
      <c r="K63" s="52">
        <v>4</v>
      </c>
      <c r="L63" s="52">
        <v>2</v>
      </c>
      <c r="M63" s="52">
        <f>SUM(F63:L63)</f>
        <v>19</v>
      </c>
      <c r="N63" s="60">
        <f>AVERAGE(F63:L63)</f>
        <v>2.7142857142857144</v>
      </c>
      <c r="O63" s="58">
        <v>3</v>
      </c>
    </row>
    <row r="64" spans="3:15" ht="25.8" x14ac:dyDescent="0.5">
      <c r="E64" s="54" t="s">
        <v>282</v>
      </c>
      <c r="F64" s="51">
        <v>0</v>
      </c>
      <c r="G64" s="52">
        <v>0</v>
      </c>
      <c r="H64" s="52">
        <v>2</v>
      </c>
      <c r="I64" s="53">
        <v>7</v>
      </c>
      <c r="J64" s="52">
        <v>0</v>
      </c>
      <c r="K64" s="52">
        <v>0</v>
      </c>
      <c r="L64" s="52">
        <v>0</v>
      </c>
      <c r="M64" s="52">
        <f t="shared" ref="M64:M78" si="5">SUM(F64:L64)</f>
        <v>9</v>
      </c>
      <c r="N64" s="60">
        <f t="shared" ref="N64:N78" si="6">AVERAGE(F64:L64)</f>
        <v>1.2857142857142858</v>
      </c>
      <c r="O64" s="58">
        <v>1</v>
      </c>
    </row>
    <row r="65" spans="2:15" ht="25.8" x14ac:dyDescent="0.5">
      <c r="E65" s="54" t="s">
        <v>283</v>
      </c>
      <c r="F65" s="51">
        <v>0</v>
      </c>
      <c r="G65" s="52">
        <v>0</v>
      </c>
      <c r="H65" s="52">
        <v>0</v>
      </c>
      <c r="I65" s="53">
        <v>0</v>
      </c>
      <c r="J65" s="52">
        <v>0</v>
      </c>
      <c r="K65" s="52">
        <v>0</v>
      </c>
      <c r="L65" s="52">
        <v>0</v>
      </c>
      <c r="M65" s="52">
        <f t="shared" si="5"/>
        <v>0</v>
      </c>
      <c r="N65" s="60">
        <f t="shared" si="6"/>
        <v>0</v>
      </c>
      <c r="O65" s="58">
        <v>0</v>
      </c>
    </row>
    <row r="66" spans="2:15" ht="25.8" x14ac:dyDescent="0.5">
      <c r="E66" s="54" t="s">
        <v>284</v>
      </c>
      <c r="F66" s="51">
        <v>0</v>
      </c>
      <c r="G66" s="52">
        <v>0</v>
      </c>
      <c r="H66" s="52">
        <v>0</v>
      </c>
      <c r="I66" s="53">
        <v>0</v>
      </c>
      <c r="J66" s="52">
        <v>0</v>
      </c>
      <c r="K66" s="52">
        <v>0</v>
      </c>
      <c r="L66" s="52">
        <v>0</v>
      </c>
      <c r="M66" s="52">
        <f t="shared" si="5"/>
        <v>0</v>
      </c>
      <c r="N66" s="60">
        <f t="shared" si="6"/>
        <v>0</v>
      </c>
      <c r="O66" s="58">
        <v>0</v>
      </c>
    </row>
    <row r="67" spans="2:15" ht="25.8" x14ac:dyDescent="0.5">
      <c r="E67" s="54" t="s">
        <v>285</v>
      </c>
      <c r="F67" s="51">
        <v>0</v>
      </c>
      <c r="G67" s="52">
        <v>0</v>
      </c>
      <c r="H67" s="52">
        <v>0</v>
      </c>
      <c r="I67" s="53">
        <v>7</v>
      </c>
      <c r="J67" s="52">
        <v>0</v>
      </c>
      <c r="K67" s="52">
        <v>1</v>
      </c>
      <c r="L67" s="52">
        <v>0</v>
      </c>
      <c r="M67" s="52">
        <f t="shared" si="5"/>
        <v>8</v>
      </c>
      <c r="N67" s="60">
        <f t="shared" si="6"/>
        <v>1.1428571428571428</v>
      </c>
      <c r="O67" s="58">
        <v>1</v>
      </c>
    </row>
    <row r="68" spans="2:15" ht="25.8" x14ac:dyDescent="0.5">
      <c r="E68" s="54" t="s">
        <v>286</v>
      </c>
      <c r="F68" s="51">
        <v>0</v>
      </c>
      <c r="G68" s="52">
        <v>0</v>
      </c>
      <c r="H68" s="52">
        <v>0</v>
      </c>
      <c r="I68" s="53">
        <v>0</v>
      </c>
      <c r="J68" s="52">
        <v>0</v>
      </c>
      <c r="K68" s="52">
        <v>0</v>
      </c>
      <c r="L68" s="52">
        <v>0</v>
      </c>
      <c r="M68" s="52">
        <f t="shared" si="5"/>
        <v>0</v>
      </c>
      <c r="N68" s="60">
        <f t="shared" si="6"/>
        <v>0</v>
      </c>
      <c r="O68" s="58">
        <v>0</v>
      </c>
    </row>
    <row r="69" spans="2:15" ht="25.8" x14ac:dyDescent="0.5">
      <c r="E69" s="54" t="s">
        <v>287</v>
      </c>
      <c r="F69" s="51">
        <v>1</v>
      </c>
      <c r="G69" s="52">
        <v>0</v>
      </c>
      <c r="H69" s="52">
        <v>3</v>
      </c>
      <c r="I69" s="53">
        <v>1</v>
      </c>
      <c r="J69" s="52">
        <v>1</v>
      </c>
      <c r="K69" s="52">
        <v>4</v>
      </c>
      <c r="L69" s="52">
        <v>0</v>
      </c>
      <c r="M69" s="52">
        <f t="shared" si="5"/>
        <v>10</v>
      </c>
      <c r="N69" s="60">
        <f t="shared" si="6"/>
        <v>1.4285714285714286</v>
      </c>
      <c r="O69" s="58">
        <v>1</v>
      </c>
    </row>
    <row r="70" spans="2:15" ht="25.8" x14ac:dyDescent="0.5">
      <c r="E70" s="54" t="s">
        <v>288</v>
      </c>
      <c r="F70" s="53">
        <v>1</v>
      </c>
      <c r="G70" s="52">
        <v>0</v>
      </c>
      <c r="H70" s="53">
        <v>2</v>
      </c>
      <c r="I70" s="53">
        <v>3</v>
      </c>
      <c r="J70" s="52">
        <v>0</v>
      </c>
      <c r="K70" s="53">
        <v>1</v>
      </c>
      <c r="L70" s="52">
        <v>0</v>
      </c>
      <c r="M70" s="52">
        <f t="shared" si="5"/>
        <v>7</v>
      </c>
      <c r="N70" s="60">
        <f t="shared" si="6"/>
        <v>1</v>
      </c>
      <c r="O70" s="58">
        <v>1</v>
      </c>
    </row>
    <row r="71" spans="2:15" ht="25.8" x14ac:dyDescent="0.5">
      <c r="E71" s="54" t="s">
        <v>289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f t="shared" si="5"/>
        <v>0</v>
      </c>
      <c r="N71" s="60">
        <f t="shared" si="6"/>
        <v>0</v>
      </c>
      <c r="O71" s="58">
        <v>0</v>
      </c>
    </row>
    <row r="72" spans="2:15" ht="25.8" x14ac:dyDescent="0.5">
      <c r="E72" s="54" t="s">
        <v>290</v>
      </c>
      <c r="F72" s="52">
        <v>0</v>
      </c>
      <c r="G72" s="52">
        <v>0</v>
      </c>
      <c r="H72" s="52">
        <v>0</v>
      </c>
      <c r="I72" s="52">
        <v>1</v>
      </c>
      <c r="J72" s="52">
        <v>0</v>
      </c>
      <c r="K72" s="52">
        <v>0</v>
      </c>
      <c r="L72" s="52">
        <v>0</v>
      </c>
      <c r="M72" s="52">
        <f t="shared" si="5"/>
        <v>1</v>
      </c>
      <c r="N72" s="60">
        <f t="shared" si="6"/>
        <v>0.14285714285714285</v>
      </c>
      <c r="O72" s="58">
        <v>1</v>
      </c>
    </row>
    <row r="73" spans="2:15" ht="25.8" x14ac:dyDescent="0.5">
      <c r="E73" s="54" t="s">
        <v>291</v>
      </c>
      <c r="F73" s="52">
        <v>3</v>
      </c>
      <c r="G73" s="52">
        <v>0</v>
      </c>
      <c r="H73" s="52">
        <v>1</v>
      </c>
      <c r="I73" s="52">
        <v>6</v>
      </c>
      <c r="J73" s="52">
        <v>1</v>
      </c>
      <c r="K73" s="52">
        <v>2</v>
      </c>
      <c r="L73" s="52">
        <v>0</v>
      </c>
      <c r="M73" s="52">
        <f t="shared" si="5"/>
        <v>13</v>
      </c>
      <c r="N73" s="60">
        <f t="shared" si="6"/>
        <v>1.8571428571428572</v>
      </c>
      <c r="O73" s="58">
        <v>2</v>
      </c>
    </row>
    <row r="74" spans="2:15" ht="25.8" x14ac:dyDescent="0.5">
      <c r="E74" s="55" t="s">
        <v>292</v>
      </c>
      <c r="F74" s="52">
        <v>0</v>
      </c>
      <c r="G74" s="52">
        <v>0</v>
      </c>
      <c r="H74" s="52">
        <v>2</v>
      </c>
      <c r="I74" s="52">
        <v>0</v>
      </c>
      <c r="J74" s="52">
        <v>0</v>
      </c>
      <c r="K74" s="52">
        <v>0</v>
      </c>
      <c r="L74" s="52">
        <v>0</v>
      </c>
      <c r="M74" s="52">
        <f t="shared" si="5"/>
        <v>2</v>
      </c>
      <c r="N74" s="60">
        <f t="shared" si="6"/>
        <v>0.2857142857142857</v>
      </c>
      <c r="O74" s="58">
        <v>1</v>
      </c>
    </row>
    <row r="75" spans="2:15" ht="25.8" x14ac:dyDescent="0.5">
      <c r="E75" s="54" t="s">
        <v>293</v>
      </c>
      <c r="F75" s="52">
        <v>4</v>
      </c>
      <c r="G75" s="52">
        <v>0</v>
      </c>
      <c r="H75" s="52">
        <v>2</v>
      </c>
      <c r="I75" s="52">
        <v>1</v>
      </c>
      <c r="J75" s="52">
        <v>1</v>
      </c>
      <c r="K75" s="52">
        <v>2</v>
      </c>
      <c r="L75" s="52">
        <v>1</v>
      </c>
      <c r="M75" s="52">
        <f t="shared" si="5"/>
        <v>11</v>
      </c>
      <c r="N75" s="60">
        <f t="shared" si="6"/>
        <v>1.5714285714285714</v>
      </c>
      <c r="O75" s="58">
        <v>2</v>
      </c>
    </row>
    <row r="76" spans="2:15" ht="25.8" x14ac:dyDescent="0.5">
      <c r="E76" s="54" t="s">
        <v>294</v>
      </c>
      <c r="F76" s="52">
        <v>0</v>
      </c>
      <c r="G76" s="52">
        <v>0</v>
      </c>
      <c r="H76" s="52">
        <v>0</v>
      </c>
      <c r="I76" s="52">
        <v>0</v>
      </c>
      <c r="J76" s="52">
        <v>1</v>
      </c>
      <c r="K76" s="52">
        <v>0</v>
      </c>
      <c r="L76" s="52">
        <v>0</v>
      </c>
      <c r="M76" s="52">
        <f t="shared" si="5"/>
        <v>1</v>
      </c>
      <c r="N76" s="60">
        <f t="shared" si="6"/>
        <v>0.14285714285714285</v>
      </c>
      <c r="O76" s="58">
        <v>1</v>
      </c>
    </row>
    <row r="77" spans="2:15" ht="25.8" x14ac:dyDescent="0.5">
      <c r="E77" s="54" t="s">
        <v>295</v>
      </c>
      <c r="F77" s="52">
        <v>0</v>
      </c>
      <c r="G77" s="52">
        <v>0</v>
      </c>
      <c r="H77" s="52">
        <v>0</v>
      </c>
      <c r="I77" s="52">
        <v>1</v>
      </c>
      <c r="J77" s="52">
        <v>0</v>
      </c>
      <c r="K77" s="52">
        <v>1</v>
      </c>
      <c r="L77" s="52">
        <v>0</v>
      </c>
      <c r="M77" s="52">
        <f t="shared" si="5"/>
        <v>2</v>
      </c>
      <c r="N77" s="60">
        <f t="shared" si="6"/>
        <v>0.2857142857142857</v>
      </c>
      <c r="O77" s="58">
        <v>1</v>
      </c>
    </row>
    <row r="78" spans="2:15" ht="26.4" thickBot="1" x14ac:dyDescent="0.55000000000000004">
      <c r="E78" s="56" t="s">
        <v>296</v>
      </c>
      <c r="F78" s="57">
        <v>0</v>
      </c>
      <c r="G78" s="57">
        <v>0</v>
      </c>
      <c r="H78" s="57">
        <v>0</v>
      </c>
      <c r="I78" s="57">
        <v>0</v>
      </c>
      <c r="J78" s="57">
        <v>0</v>
      </c>
      <c r="K78" s="57">
        <v>2</v>
      </c>
      <c r="L78" s="57">
        <v>0</v>
      </c>
      <c r="M78" s="57">
        <f t="shared" si="5"/>
        <v>2</v>
      </c>
      <c r="N78" s="61">
        <f t="shared" si="6"/>
        <v>0.2857142857142857</v>
      </c>
      <c r="O78" s="59">
        <v>1</v>
      </c>
    </row>
    <row r="79" spans="2:15" x14ac:dyDescent="0.3">
      <c r="B79" s="67"/>
      <c r="E79" s="50"/>
    </row>
    <row r="80" spans="2:15" x14ac:dyDescent="0.3">
      <c r="B80" s="67"/>
      <c r="E80" s="50"/>
    </row>
    <row r="81" spans="2:15" x14ac:dyDescent="0.3">
      <c r="B81" s="67"/>
      <c r="E81" s="50"/>
    </row>
    <row r="82" spans="2:15" ht="15" thickBot="1" x14ac:dyDescent="0.35">
      <c r="B82" s="67"/>
    </row>
    <row r="83" spans="2:15" ht="33" thickBot="1" x14ac:dyDescent="0.35">
      <c r="B83" s="67"/>
      <c r="G83" s="243" t="s">
        <v>320</v>
      </c>
      <c r="H83" s="244"/>
      <c r="I83" s="244"/>
      <c r="J83" s="244"/>
      <c r="K83" s="245"/>
    </row>
    <row r="84" spans="2:15" ht="23.4" x14ac:dyDescent="0.45">
      <c r="B84" s="67"/>
      <c r="C84" s="67" t="s">
        <v>309</v>
      </c>
      <c r="E84" s="29"/>
      <c r="F84" s="62"/>
      <c r="G84" s="63"/>
      <c r="H84" s="63"/>
      <c r="I84" s="63"/>
      <c r="J84" s="63"/>
      <c r="K84" s="63"/>
      <c r="L84" s="63"/>
      <c r="M84" s="63"/>
      <c r="N84" s="63"/>
      <c r="O84" s="64"/>
    </row>
    <row r="85" spans="2:15" ht="21" x14ac:dyDescent="0.3">
      <c r="B85" s="67"/>
      <c r="E85" s="125" t="s">
        <v>321</v>
      </c>
      <c r="F85" s="160" t="s">
        <v>3</v>
      </c>
      <c r="G85" s="145" t="s">
        <v>4</v>
      </c>
      <c r="H85" s="160" t="s">
        <v>5</v>
      </c>
      <c r="I85" s="145" t="s">
        <v>6</v>
      </c>
      <c r="J85" s="160" t="s">
        <v>7</v>
      </c>
      <c r="K85" s="145" t="s">
        <v>8</v>
      </c>
      <c r="L85" s="160" t="s">
        <v>9</v>
      </c>
      <c r="M85" s="145" t="s">
        <v>269</v>
      </c>
      <c r="N85" s="145" t="s">
        <v>260</v>
      </c>
      <c r="O85" s="161" t="s">
        <v>299</v>
      </c>
    </row>
    <row r="86" spans="2:15" ht="21" x14ac:dyDescent="0.4">
      <c r="B86" s="67"/>
      <c r="E86" s="162" t="s">
        <v>304</v>
      </c>
      <c r="F86" s="145">
        <v>3</v>
      </c>
      <c r="G86" s="146">
        <v>0</v>
      </c>
      <c r="H86" s="146">
        <v>5</v>
      </c>
      <c r="I86" s="147">
        <v>2</v>
      </c>
      <c r="J86" s="146">
        <v>1</v>
      </c>
      <c r="K86" s="146">
        <v>9</v>
      </c>
      <c r="L86" s="146">
        <v>0</v>
      </c>
      <c r="M86" s="146">
        <f>SUM(F86:L86)</f>
        <v>20</v>
      </c>
      <c r="N86" s="163">
        <f>AVERAGE(F86:L86)</f>
        <v>2.8571428571428572</v>
      </c>
      <c r="O86" s="164">
        <v>3</v>
      </c>
    </row>
    <row r="87" spans="2:15" ht="21" x14ac:dyDescent="0.4">
      <c r="B87" s="67"/>
      <c r="E87" s="162" t="s">
        <v>305</v>
      </c>
      <c r="F87" s="145">
        <v>1</v>
      </c>
      <c r="G87" s="146">
        <v>0</v>
      </c>
      <c r="H87" s="146">
        <v>1</v>
      </c>
      <c r="I87" s="147">
        <v>0</v>
      </c>
      <c r="J87" s="146">
        <v>0</v>
      </c>
      <c r="K87" s="146">
        <v>2</v>
      </c>
      <c r="L87" s="146">
        <v>0</v>
      </c>
      <c r="M87" s="146">
        <f t="shared" ref="M87:M101" si="7">SUM(F87:L87)</f>
        <v>4</v>
      </c>
      <c r="N87" s="163">
        <f t="shared" ref="N87:N101" si="8">AVERAGE(F87:L87)</f>
        <v>0.5714285714285714</v>
      </c>
      <c r="O87" s="164">
        <v>1</v>
      </c>
    </row>
    <row r="88" spans="2:15" ht="21" x14ac:dyDescent="0.4">
      <c r="B88" s="67"/>
      <c r="E88" s="162" t="s">
        <v>306</v>
      </c>
      <c r="F88" s="145">
        <v>1</v>
      </c>
      <c r="G88" s="146">
        <v>0</v>
      </c>
      <c r="H88" s="146">
        <v>2</v>
      </c>
      <c r="I88" s="147">
        <v>1</v>
      </c>
      <c r="J88" s="146">
        <v>0</v>
      </c>
      <c r="K88" s="146">
        <v>2</v>
      </c>
      <c r="L88" s="146">
        <v>0</v>
      </c>
      <c r="M88" s="146">
        <f t="shared" si="7"/>
        <v>6</v>
      </c>
      <c r="N88" s="163">
        <f t="shared" si="8"/>
        <v>0.8571428571428571</v>
      </c>
      <c r="O88" s="164">
        <v>1</v>
      </c>
    </row>
    <row r="89" spans="2:15" ht="21" x14ac:dyDescent="0.4">
      <c r="B89" s="67"/>
      <c r="E89" s="162" t="s">
        <v>307</v>
      </c>
      <c r="F89" s="145">
        <v>0</v>
      </c>
      <c r="G89" s="146">
        <v>0</v>
      </c>
      <c r="H89" s="146">
        <v>2</v>
      </c>
      <c r="I89" s="147">
        <v>1</v>
      </c>
      <c r="J89" s="146">
        <v>0</v>
      </c>
      <c r="K89" s="146">
        <v>0</v>
      </c>
      <c r="L89" s="146">
        <v>0</v>
      </c>
      <c r="M89" s="146">
        <f t="shared" si="7"/>
        <v>3</v>
      </c>
      <c r="N89" s="163">
        <f t="shared" si="8"/>
        <v>0.42857142857142855</v>
      </c>
      <c r="O89" s="164">
        <v>1</v>
      </c>
    </row>
    <row r="90" spans="2:15" ht="21" x14ac:dyDescent="0.4">
      <c r="B90" s="67"/>
      <c r="E90" s="162" t="s">
        <v>308</v>
      </c>
      <c r="F90" s="145">
        <v>0</v>
      </c>
      <c r="G90" s="146">
        <v>0</v>
      </c>
      <c r="H90" s="146">
        <v>2</v>
      </c>
      <c r="I90" s="147">
        <v>1</v>
      </c>
      <c r="J90" s="146">
        <v>0</v>
      </c>
      <c r="K90" s="146">
        <v>0</v>
      </c>
      <c r="L90" s="146">
        <v>0</v>
      </c>
      <c r="M90" s="146">
        <f t="shared" si="7"/>
        <v>3</v>
      </c>
      <c r="N90" s="163">
        <f t="shared" si="8"/>
        <v>0.42857142857142855</v>
      </c>
      <c r="O90" s="164">
        <v>1</v>
      </c>
    </row>
    <row r="91" spans="2:15" ht="21" x14ac:dyDescent="0.4">
      <c r="B91" s="67"/>
      <c r="E91" s="162" t="s">
        <v>310</v>
      </c>
      <c r="F91" s="145">
        <v>0</v>
      </c>
      <c r="G91" s="146">
        <v>0</v>
      </c>
      <c r="H91" s="146">
        <v>0</v>
      </c>
      <c r="I91" s="147">
        <v>1</v>
      </c>
      <c r="J91" s="146">
        <v>0</v>
      </c>
      <c r="K91" s="146">
        <v>0</v>
      </c>
      <c r="L91" s="146">
        <v>0</v>
      </c>
      <c r="M91" s="146">
        <f t="shared" si="7"/>
        <v>1</v>
      </c>
      <c r="N91" s="163">
        <f t="shared" si="8"/>
        <v>0.14285714285714285</v>
      </c>
      <c r="O91" s="164">
        <v>1</v>
      </c>
    </row>
    <row r="92" spans="2:15" ht="21" x14ac:dyDescent="0.4">
      <c r="B92" s="67"/>
      <c r="E92" s="162" t="s">
        <v>311</v>
      </c>
      <c r="F92" s="145">
        <v>0</v>
      </c>
      <c r="G92" s="146">
        <v>0</v>
      </c>
      <c r="H92" s="146">
        <v>1</v>
      </c>
      <c r="I92" s="147">
        <v>0</v>
      </c>
      <c r="J92" s="146">
        <v>0</v>
      </c>
      <c r="K92" s="146">
        <v>2</v>
      </c>
      <c r="L92" s="146">
        <v>0</v>
      </c>
      <c r="M92" s="146">
        <f t="shared" si="7"/>
        <v>3</v>
      </c>
      <c r="N92" s="163">
        <f t="shared" si="8"/>
        <v>0.42857142857142855</v>
      </c>
      <c r="O92" s="164">
        <v>1</v>
      </c>
    </row>
    <row r="93" spans="2:15" ht="21" x14ac:dyDescent="0.4">
      <c r="B93" s="67"/>
      <c r="E93" s="165" t="s">
        <v>312</v>
      </c>
      <c r="F93" s="145">
        <v>0</v>
      </c>
      <c r="G93" s="146">
        <v>0</v>
      </c>
      <c r="H93" s="147">
        <v>0</v>
      </c>
      <c r="I93" s="147">
        <v>0</v>
      </c>
      <c r="J93" s="146">
        <v>0</v>
      </c>
      <c r="K93" s="147">
        <v>0</v>
      </c>
      <c r="L93" s="146">
        <v>0</v>
      </c>
      <c r="M93" s="146">
        <f t="shared" si="7"/>
        <v>0</v>
      </c>
      <c r="N93" s="163">
        <f t="shared" si="8"/>
        <v>0</v>
      </c>
      <c r="O93" s="164">
        <v>0</v>
      </c>
    </row>
    <row r="94" spans="2:15" ht="21" x14ac:dyDescent="0.4">
      <c r="B94" s="67"/>
      <c r="E94" s="162" t="s">
        <v>313</v>
      </c>
      <c r="F94" s="145">
        <v>0</v>
      </c>
      <c r="G94" s="146">
        <v>0</v>
      </c>
      <c r="H94" s="146">
        <v>1</v>
      </c>
      <c r="I94" s="147">
        <v>0</v>
      </c>
      <c r="J94" s="146">
        <v>0</v>
      </c>
      <c r="K94" s="146">
        <v>0</v>
      </c>
      <c r="L94" s="146">
        <v>0</v>
      </c>
      <c r="M94" s="146">
        <f t="shared" si="7"/>
        <v>1</v>
      </c>
      <c r="N94" s="163">
        <f t="shared" si="8"/>
        <v>0.14285714285714285</v>
      </c>
      <c r="O94" s="164">
        <v>1</v>
      </c>
    </row>
    <row r="95" spans="2:15" ht="21" x14ac:dyDescent="0.4">
      <c r="E95" s="162" t="s">
        <v>314</v>
      </c>
      <c r="F95" s="145">
        <v>0</v>
      </c>
      <c r="G95" s="146">
        <v>0</v>
      </c>
      <c r="H95" s="146">
        <v>0</v>
      </c>
      <c r="I95" s="147">
        <v>0</v>
      </c>
      <c r="J95" s="146">
        <v>1</v>
      </c>
      <c r="K95" s="146">
        <v>2</v>
      </c>
      <c r="L95" s="146">
        <v>0</v>
      </c>
      <c r="M95" s="146">
        <f t="shared" si="7"/>
        <v>3</v>
      </c>
      <c r="N95" s="163">
        <f t="shared" si="8"/>
        <v>0.42857142857142855</v>
      </c>
      <c r="O95" s="164">
        <v>1</v>
      </c>
    </row>
    <row r="96" spans="2:15" ht="21" x14ac:dyDescent="0.4">
      <c r="E96" s="162" t="s">
        <v>315</v>
      </c>
      <c r="F96" s="146">
        <v>1</v>
      </c>
      <c r="G96" s="146">
        <v>0</v>
      </c>
      <c r="H96" s="146">
        <v>0</v>
      </c>
      <c r="I96" s="147">
        <v>0</v>
      </c>
      <c r="J96" s="146">
        <v>0</v>
      </c>
      <c r="K96" s="146">
        <v>5</v>
      </c>
      <c r="L96" s="146">
        <v>0</v>
      </c>
      <c r="M96" s="146">
        <f t="shared" si="7"/>
        <v>6</v>
      </c>
      <c r="N96" s="163">
        <f t="shared" si="8"/>
        <v>0.8571428571428571</v>
      </c>
      <c r="O96" s="164">
        <v>1</v>
      </c>
    </row>
    <row r="97" spans="5:15" ht="21" x14ac:dyDescent="0.4">
      <c r="E97" s="162" t="s">
        <v>316</v>
      </c>
      <c r="F97" s="146">
        <v>3</v>
      </c>
      <c r="G97" s="146">
        <v>0</v>
      </c>
      <c r="H97" s="146">
        <v>2</v>
      </c>
      <c r="I97" s="147">
        <v>0</v>
      </c>
      <c r="J97" s="146">
        <v>0</v>
      </c>
      <c r="K97" s="146">
        <v>5</v>
      </c>
      <c r="L97" s="146">
        <v>0</v>
      </c>
      <c r="M97" s="146">
        <f t="shared" si="7"/>
        <v>10</v>
      </c>
      <c r="N97" s="163">
        <f t="shared" si="8"/>
        <v>1.4285714285714286</v>
      </c>
      <c r="O97" s="164">
        <v>1</v>
      </c>
    </row>
    <row r="98" spans="5:15" ht="21" x14ac:dyDescent="0.4">
      <c r="E98" s="162" t="s">
        <v>317</v>
      </c>
      <c r="F98" s="146">
        <v>1</v>
      </c>
      <c r="G98" s="146">
        <v>0</v>
      </c>
      <c r="H98" s="146">
        <v>0</v>
      </c>
      <c r="I98" s="147">
        <v>0</v>
      </c>
      <c r="J98" s="146">
        <v>0</v>
      </c>
      <c r="K98" s="146">
        <v>4</v>
      </c>
      <c r="L98" s="146">
        <v>0</v>
      </c>
      <c r="M98" s="146">
        <f t="shared" si="7"/>
        <v>5</v>
      </c>
      <c r="N98" s="163">
        <f t="shared" si="8"/>
        <v>0.7142857142857143</v>
      </c>
      <c r="O98" s="164">
        <v>1</v>
      </c>
    </row>
    <row r="99" spans="5:15" ht="21" x14ac:dyDescent="0.4">
      <c r="E99" s="162" t="s">
        <v>318</v>
      </c>
      <c r="F99" s="146">
        <v>0</v>
      </c>
      <c r="G99" s="146">
        <v>0</v>
      </c>
      <c r="H99" s="146">
        <v>0</v>
      </c>
      <c r="I99" s="146">
        <v>2</v>
      </c>
      <c r="J99" s="146">
        <v>0</v>
      </c>
      <c r="K99" s="146">
        <v>0</v>
      </c>
      <c r="L99" s="146">
        <v>0</v>
      </c>
      <c r="M99" s="146">
        <f t="shared" si="7"/>
        <v>2</v>
      </c>
      <c r="N99" s="163">
        <f t="shared" si="8"/>
        <v>0.2857142857142857</v>
      </c>
      <c r="O99" s="164">
        <v>1</v>
      </c>
    </row>
    <row r="100" spans="5:15" ht="21" x14ac:dyDescent="0.4">
      <c r="E100" s="162" t="s">
        <v>319</v>
      </c>
      <c r="F100" s="146">
        <v>0</v>
      </c>
      <c r="G100" s="146">
        <v>0</v>
      </c>
      <c r="H100" s="146">
        <v>2</v>
      </c>
      <c r="I100" s="146">
        <v>1</v>
      </c>
      <c r="J100" s="146">
        <v>0</v>
      </c>
      <c r="K100" s="146">
        <v>0</v>
      </c>
      <c r="L100" s="146">
        <v>0</v>
      </c>
      <c r="M100" s="146">
        <f t="shared" si="7"/>
        <v>3</v>
      </c>
      <c r="N100" s="163">
        <f t="shared" si="8"/>
        <v>0.42857142857142855</v>
      </c>
      <c r="O100" s="164">
        <v>1</v>
      </c>
    </row>
    <row r="101" spans="5:15" ht="21.6" thickBot="1" x14ac:dyDescent="0.45">
      <c r="E101" s="166" t="s">
        <v>322</v>
      </c>
      <c r="F101" s="151">
        <v>4</v>
      </c>
      <c r="G101" s="151">
        <v>3</v>
      </c>
      <c r="H101" s="151">
        <v>5</v>
      </c>
      <c r="I101" s="151">
        <v>7</v>
      </c>
      <c r="J101" s="151">
        <v>6</v>
      </c>
      <c r="K101" s="151">
        <v>3</v>
      </c>
      <c r="L101" s="151">
        <v>2</v>
      </c>
      <c r="M101" s="146">
        <f t="shared" si="7"/>
        <v>30</v>
      </c>
      <c r="N101" s="167">
        <f t="shared" si="8"/>
        <v>4.2857142857142856</v>
      </c>
      <c r="O101" s="168">
        <v>4</v>
      </c>
    </row>
    <row r="104" spans="5:15" ht="15" thickBot="1" x14ac:dyDescent="0.35"/>
    <row r="105" spans="5:15" ht="33" thickBot="1" x14ac:dyDescent="0.35">
      <c r="F105" s="243" t="s">
        <v>326</v>
      </c>
      <c r="G105" s="244"/>
      <c r="H105" s="244"/>
      <c r="I105" s="244"/>
      <c r="J105" s="245"/>
    </row>
    <row r="106" spans="5:15" ht="19.2" x14ac:dyDescent="0.3">
      <c r="E106" s="29"/>
      <c r="F106" s="29"/>
      <c r="G106" s="25"/>
      <c r="H106" s="25"/>
      <c r="I106" s="25"/>
      <c r="J106" s="25"/>
      <c r="K106" s="25"/>
      <c r="L106" s="25"/>
      <c r="M106" s="25"/>
      <c r="N106" s="26"/>
    </row>
    <row r="107" spans="5:15" ht="19.8" thickBot="1" x14ac:dyDescent="0.35">
      <c r="E107" s="31" t="s">
        <v>245</v>
      </c>
      <c r="F107" s="36" t="s">
        <v>3</v>
      </c>
      <c r="G107" s="43" t="s">
        <v>4</v>
      </c>
      <c r="H107" s="32" t="s">
        <v>5</v>
      </c>
      <c r="I107" s="43" t="s">
        <v>6</v>
      </c>
      <c r="J107" s="32" t="s">
        <v>7</v>
      </c>
      <c r="K107" s="43" t="s">
        <v>8</v>
      </c>
      <c r="L107" s="32" t="s">
        <v>9</v>
      </c>
      <c r="M107" s="246" t="s">
        <v>325</v>
      </c>
      <c r="N107" s="247"/>
    </row>
    <row r="108" spans="5:15" ht="24" thickBot="1" x14ac:dyDescent="0.5">
      <c r="E108" s="27"/>
      <c r="F108" s="75" t="s">
        <v>324</v>
      </c>
      <c r="G108" s="42" t="s">
        <v>323</v>
      </c>
      <c r="H108" s="42" t="s">
        <v>323</v>
      </c>
      <c r="I108" s="40" t="s">
        <v>323</v>
      </c>
      <c r="J108" s="42" t="s">
        <v>323</v>
      </c>
      <c r="K108" s="42" t="s">
        <v>323</v>
      </c>
      <c r="L108" s="42" t="s">
        <v>323</v>
      </c>
      <c r="M108" s="248" t="s">
        <v>327</v>
      </c>
      <c r="N108" s="249"/>
    </row>
  </sheetData>
  <mergeCells count="19">
    <mergeCell ref="F16:J16"/>
    <mergeCell ref="F29:J29"/>
    <mergeCell ref="A1:N1"/>
    <mergeCell ref="A2:N2"/>
    <mergeCell ref="A4:B4"/>
    <mergeCell ref="A15:B15"/>
    <mergeCell ref="C48:D48"/>
    <mergeCell ref="C49:D49"/>
    <mergeCell ref="C50:D50"/>
    <mergeCell ref="C43:D43"/>
    <mergeCell ref="C44:D44"/>
    <mergeCell ref="C45:D45"/>
    <mergeCell ref="C46:D46"/>
    <mergeCell ref="C47:D47"/>
    <mergeCell ref="G60:K60"/>
    <mergeCell ref="G83:K83"/>
    <mergeCell ref="F105:J105"/>
    <mergeCell ref="M107:N107"/>
    <mergeCell ref="M108:N108"/>
  </mergeCells>
  <phoneticPr fontId="10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70FE-6A75-43D5-A609-2CE9291AF606}">
  <dimension ref="A1:S37"/>
  <sheetViews>
    <sheetView topLeftCell="B13" zoomScale="66" zoomScaleNormal="85" workbookViewId="0">
      <selection activeCell="J30" sqref="J21:K37"/>
    </sheetView>
  </sheetViews>
  <sheetFormatPr defaultColWidth="15.77734375" defaultRowHeight="19.8" x14ac:dyDescent="0.4"/>
  <cols>
    <col min="1" max="1" width="15.77734375" style="24"/>
    <col min="2" max="2" width="16.6640625" style="24" customWidth="1"/>
    <col min="3" max="3" width="18.5546875" style="24" customWidth="1"/>
    <col min="4" max="4" width="20.6640625" style="24" customWidth="1"/>
    <col min="5" max="5" width="19.6640625" style="24" customWidth="1"/>
    <col min="6" max="6" width="59.6640625" style="24" customWidth="1"/>
    <col min="7" max="7" width="31" style="24" customWidth="1"/>
    <col min="8" max="8" width="34.6640625" style="24" customWidth="1"/>
    <col min="9" max="9" width="23.109375" style="24" customWidth="1"/>
    <col min="10" max="10" width="59.5546875" style="24" customWidth="1"/>
    <col min="11" max="11" width="23.21875" style="24" customWidth="1"/>
    <col min="12" max="13" width="15.77734375" style="24"/>
    <col min="14" max="14" width="39" style="24" customWidth="1"/>
    <col min="15" max="15" width="24.21875" style="24" customWidth="1"/>
    <col min="16" max="16" width="15.77734375" style="24"/>
    <col min="17" max="17" width="43.77734375" style="24" customWidth="1"/>
    <col min="18" max="16384" width="15.77734375" style="24"/>
  </cols>
  <sheetData>
    <row r="1" spans="1:19" ht="21" x14ac:dyDescent="0.4">
      <c r="D1" s="169"/>
      <c r="E1" s="169"/>
      <c r="F1" s="169"/>
      <c r="G1" s="258" t="s">
        <v>336</v>
      </c>
      <c r="H1" s="259"/>
      <c r="I1" s="260"/>
      <c r="J1" s="169"/>
      <c r="K1" s="169"/>
      <c r="L1" s="169"/>
    </row>
    <row r="2" spans="1:19" ht="21.6" thickBot="1" x14ac:dyDescent="0.45">
      <c r="D2" s="169"/>
      <c r="E2" s="169"/>
      <c r="F2" s="169"/>
      <c r="G2" s="261"/>
      <c r="H2" s="262"/>
      <c r="I2" s="263"/>
      <c r="J2" s="169"/>
      <c r="K2" s="169"/>
      <c r="L2" s="169"/>
    </row>
    <row r="3" spans="1:19" ht="39.6" customHeight="1" thickBot="1" x14ac:dyDescent="0.45">
      <c r="A3" s="268" t="s">
        <v>245</v>
      </c>
      <c r="B3" s="268"/>
      <c r="D3" s="170" t="s">
        <v>264</v>
      </c>
      <c r="E3" s="171" t="s">
        <v>20</v>
      </c>
      <c r="F3" s="172" t="s">
        <v>245</v>
      </c>
      <c r="G3" s="172" t="s">
        <v>246</v>
      </c>
      <c r="H3" s="173" t="s">
        <v>247</v>
      </c>
      <c r="I3" s="174" t="s">
        <v>248</v>
      </c>
      <c r="J3" s="172" t="s">
        <v>249</v>
      </c>
      <c r="K3" s="172" t="s">
        <v>236</v>
      </c>
      <c r="L3" s="175" t="s">
        <v>250</v>
      </c>
    </row>
    <row r="4" spans="1:19" ht="36" customHeight="1" thickBot="1" x14ac:dyDescent="0.45">
      <c r="A4" s="269" t="s">
        <v>251</v>
      </c>
      <c r="B4" s="270"/>
      <c r="D4" s="176" t="s">
        <v>16</v>
      </c>
      <c r="E4" s="177">
        <v>46113</v>
      </c>
      <c r="F4" s="178" t="s">
        <v>271</v>
      </c>
      <c r="G4" s="179" t="s">
        <v>263</v>
      </c>
      <c r="H4" s="180" t="s">
        <v>333</v>
      </c>
      <c r="I4" s="179" t="s">
        <v>272</v>
      </c>
      <c r="J4" s="179" t="s">
        <v>273</v>
      </c>
      <c r="K4" s="179" t="s">
        <v>31</v>
      </c>
      <c r="L4" s="181"/>
      <c r="N4" s="201" t="s">
        <v>245</v>
      </c>
      <c r="O4" s="202" t="s">
        <v>270</v>
      </c>
      <c r="Q4" s="121"/>
      <c r="R4" s="208" t="s">
        <v>275</v>
      </c>
      <c r="S4" s="44"/>
    </row>
    <row r="5" spans="1:19" ht="21.6" thickBot="1" x14ac:dyDescent="0.45">
      <c r="A5" s="264" t="s">
        <v>252</v>
      </c>
      <c r="B5" s="265"/>
      <c r="D5" s="176" t="s">
        <v>13</v>
      </c>
      <c r="E5" s="182">
        <v>46114</v>
      </c>
      <c r="F5" s="183" t="s">
        <v>274</v>
      </c>
      <c r="G5" s="184" t="s">
        <v>263</v>
      </c>
      <c r="H5" s="185" t="s">
        <v>273</v>
      </c>
      <c r="I5" s="184" t="s">
        <v>273</v>
      </c>
      <c r="J5" s="184" t="s">
        <v>335</v>
      </c>
      <c r="K5" s="184" t="s">
        <v>41</v>
      </c>
      <c r="L5" s="186"/>
      <c r="N5" s="203" t="s">
        <v>139</v>
      </c>
      <c r="O5" s="204">
        <v>4</v>
      </c>
      <c r="Q5" s="209" t="s">
        <v>139</v>
      </c>
      <c r="R5" s="210">
        <v>5</v>
      </c>
    </row>
    <row r="6" spans="1:19" ht="63.6" thickBot="1" x14ac:dyDescent="0.45">
      <c r="A6" s="264" t="s">
        <v>253</v>
      </c>
      <c r="B6" s="265"/>
      <c r="D6" s="176" t="s">
        <v>14</v>
      </c>
      <c r="E6" s="182">
        <v>46115</v>
      </c>
      <c r="F6" s="183" t="s">
        <v>276</v>
      </c>
      <c r="G6" s="184" t="s">
        <v>263</v>
      </c>
      <c r="H6" s="180" t="s">
        <v>331</v>
      </c>
      <c r="I6" s="184" t="s">
        <v>273</v>
      </c>
      <c r="J6" s="184" t="s">
        <v>335</v>
      </c>
      <c r="K6" s="184" t="s">
        <v>80</v>
      </c>
      <c r="L6" s="186"/>
      <c r="N6" s="203" t="s">
        <v>79</v>
      </c>
      <c r="O6" s="204">
        <v>3</v>
      </c>
      <c r="Q6" s="211" t="s">
        <v>79</v>
      </c>
      <c r="R6" s="212">
        <v>3</v>
      </c>
    </row>
    <row r="7" spans="1:19" ht="21.6" thickBot="1" x14ac:dyDescent="0.45">
      <c r="A7" s="264" t="s">
        <v>254</v>
      </c>
      <c r="B7" s="265"/>
      <c r="D7" s="176" t="s">
        <v>17</v>
      </c>
      <c r="E7" s="182">
        <v>46116</v>
      </c>
      <c r="F7" s="187"/>
      <c r="G7" s="188"/>
      <c r="H7" s="185"/>
      <c r="I7" s="188"/>
      <c r="J7" s="188"/>
      <c r="K7" s="188"/>
      <c r="L7" s="189"/>
      <c r="N7" s="203" t="s">
        <v>92</v>
      </c>
      <c r="O7" s="204">
        <v>1</v>
      </c>
      <c r="Q7" s="211" t="s">
        <v>92</v>
      </c>
      <c r="R7" s="212">
        <v>1</v>
      </c>
    </row>
    <row r="8" spans="1:19" ht="21.6" thickBot="1" x14ac:dyDescent="0.45">
      <c r="A8" s="264" t="s">
        <v>255</v>
      </c>
      <c r="B8" s="265"/>
      <c r="D8" s="176" t="s">
        <v>12</v>
      </c>
      <c r="E8" s="182">
        <v>46117</v>
      </c>
      <c r="F8" s="190"/>
      <c r="G8" s="191"/>
      <c r="H8" s="185"/>
      <c r="I8" s="191"/>
      <c r="J8" s="191"/>
      <c r="K8" s="191"/>
      <c r="L8" s="189"/>
      <c r="N8" s="203" t="s">
        <v>262</v>
      </c>
      <c r="O8" s="204">
        <v>1</v>
      </c>
      <c r="Q8" s="211" t="s">
        <v>262</v>
      </c>
      <c r="R8" s="212">
        <v>2</v>
      </c>
    </row>
    <row r="9" spans="1:19" ht="21.6" thickBot="1" x14ac:dyDescent="0.45">
      <c r="A9" s="264" t="s">
        <v>256</v>
      </c>
      <c r="B9" s="265"/>
      <c r="D9" s="176" t="s">
        <v>15</v>
      </c>
      <c r="E9" s="182">
        <v>46118</v>
      </c>
      <c r="F9" s="183" t="s">
        <v>300</v>
      </c>
      <c r="G9" s="192"/>
      <c r="H9" s="185" t="s">
        <v>273</v>
      </c>
      <c r="I9" s="184" t="s">
        <v>277</v>
      </c>
      <c r="J9" s="184" t="s">
        <v>335</v>
      </c>
      <c r="K9" s="184" t="s">
        <v>31</v>
      </c>
      <c r="L9" s="186"/>
      <c r="N9" s="203" t="s">
        <v>265</v>
      </c>
      <c r="O9" s="204">
        <v>1</v>
      </c>
      <c r="Q9" s="211" t="s">
        <v>265</v>
      </c>
      <c r="R9" s="212">
        <v>1</v>
      </c>
    </row>
    <row r="10" spans="1:19" ht="36.6" customHeight="1" thickBot="1" x14ac:dyDescent="0.45">
      <c r="A10" s="264" t="s">
        <v>248</v>
      </c>
      <c r="B10" s="265"/>
      <c r="D10" s="176" t="s">
        <v>18</v>
      </c>
      <c r="E10" s="182">
        <v>46119</v>
      </c>
      <c r="F10" s="183" t="s">
        <v>301</v>
      </c>
      <c r="G10" s="184" t="s">
        <v>263</v>
      </c>
      <c r="H10" s="185" t="s">
        <v>334</v>
      </c>
      <c r="I10" s="184" t="s">
        <v>302</v>
      </c>
      <c r="J10" s="184" t="s">
        <v>335</v>
      </c>
      <c r="K10" s="184" t="s">
        <v>41</v>
      </c>
      <c r="L10" s="186"/>
      <c r="N10" s="203" t="s">
        <v>254</v>
      </c>
      <c r="O10" s="204">
        <v>2</v>
      </c>
      <c r="Q10" s="211" t="s">
        <v>254</v>
      </c>
      <c r="R10" s="212">
        <v>2</v>
      </c>
    </row>
    <row r="11" spans="1:19" ht="63.6" thickBot="1" x14ac:dyDescent="0.45">
      <c r="A11" s="266" t="s">
        <v>257</v>
      </c>
      <c r="B11" s="267"/>
      <c r="D11" s="176" t="s">
        <v>16</v>
      </c>
      <c r="E11" s="182">
        <v>46120</v>
      </c>
      <c r="F11" s="183" t="s">
        <v>279</v>
      </c>
      <c r="G11" s="193"/>
      <c r="H11" s="185" t="s">
        <v>330</v>
      </c>
      <c r="I11" s="184" t="s">
        <v>273</v>
      </c>
      <c r="J11" s="184" t="s">
        <v>273</v>
      </c>
      <c r="K11" s="184" t="s">
        <v>41</v>
      </c>
      <c r="L11" s="186"/>
      <c r="N11" s="203" t="s">
        <v>255</v>
      </c>
      <c r="O11" s="205">
        <v>2</v>
      </c>
      <c r="Q11" s="211" t="s">
        <v>255</v>
      </c>
      <c r="R11" s="212">
        <v>2</v>
      </c>
    </row>
    <row r="12" spans="1:19" ht="40.200000000000003" customHeight="1" thickBot="1" x14ac:dyDescent="0.45">
      <c r="D12" s="176" t="s">
        <v>13</v>
      </c>
      <c r="E12" s="182">
        <v>46121</v>
      </c>
      <c r="F12" s="183" t="s">
        <v>278</v>
      </c>
      <c r="G12" s="184" t="s">
        <v>263</v>
      </c>
      <c r="H12" s="185" t="s">
        <v>273</v>
      </c>
      <c r="I12" s="184" t="s">
        <v>273</v>
      </c>
      <c r="J12" s="184" t="s">
        <v>273</v>
      </c>
      <c r="K12" s="184" t="s">
        <v>41</v>
      </c>
      <c r="L12" s="186"/>
      <c r="N12" s="206" t="s">
        <v>266</v>
      </c>
      <c r="O12" s="207">
        <v>0</v>
      </c>
      <c r="Q12" s="213" t="s">
        <v>266</v>
      </c>
      <c r="R12" s="214">
        <v>0</v>
      </c>
    </row>
    <row r="13" spans="1:19" ht="42.6" thickBot="1" x14ac:dyDescent="0.45">
      <c r="D13" s="194" t="s">
        <v>14</v>
      </c>
      <c r="E13" s="195">
        <v>46122</v>
      </c>
      <c r="F13" s="196" t="s">
        <v>303</v>
      </c>
      <c r="G13" s="197"/>
      <c r="H13" s="198" t="s">
        <v>329</v>
      </c>
      <c r="I13" s="199" t="s">
        <v>273</v>
      </c>
      <c r="J13" s="199" t="s">
        <v>273</v>
      </c>
      <c r="K13" s="199" t="s">
        <v>31</v>
      </c>
      <c r="L13" s="200"/>
    </row>
    <row r="15" spans="1:19" x14ac:dyDescent="0.4">
      <c r="D15" s="45"/>
      <c r="E15" s="46"/>
      <c r="F15" s="47"/>
      <c r="G15" s="47"/>
      <c r="H15" s="47"/>
      <c r="I15" s="47"/>
      <c r="J15" s="47"/>
      <c r="K15" s="47"/>
    </row>
    <row r="16" spans="1:19" x14ac:dyDescent="0.4">
      <c r="D16" s="45"/>
      <c r="E16" s="46"/>
      <c r="F16" s="47"/>
      <c r="G16" s="47"/>
      <c r="H16" s="47"/>
      <c r="I16" s="47"/>
      <c r="J16" s="47"/>
      <c r="K16" s="47"/>
    </row>
    <row r="17" spans="4:11" ht="59.4" customHeight="1" thickBot="1" x14ac:dyDescent="0.45">
      <c r="D17" s="45"/>
      <c r="E17" s="46"/>
      <c r="F17" s="47"/>
      <c r="G17" s="47"/>
      <c r="H17" s="47"/>
      <c r="I17" s="47"/>
      <c r="J17" s="47"/>
      <c r="K17" s="47"/>
    </row>
    <row r="18" spans="4:11" ht="23.4" x14ac:dyDescent="0.45">
      <c r="D18" s="45"/>
      <c r="E18" s="46"/>
      <c r="F18" s="215" t="s">
        <v>297</v>
      </c>
      <c r="G18" s="216" t="s">
        <v>260</v>
      </c>
      <c r="H18" s="217"/>
      <c r="I18" s="47"/>
      <c r="J18" s="47"/>
      <c r="K18" s="47"/>
    </row>
    <row r="19" spans="4:11" ht="23.4" x14ac:dyDescent="0.45">
      <c r="D19" s="45"/>
      <c r="E19" s="46"/>
      <c r="F19" s="218" t="s">
        <v>281</v>
      </c>
      <c r="G19" s="219">
        <v>3</v>
      </c>
      <c r="H19" s="77" t="s">
        <v>328</v>
      </c>
      <c r="I19" s="47"/>
      <c r="J19" s="47"/>
      <c r="K19" s="47"/>
    </row>
    <row r="20" spans="4:11" ht="75.599999999999994" customHeight="1" x14ac:dyDescent="0.45">
      <c r="D20" s="45"/>
      <c r="E20" s="46"/>
      <c r="F20" s="218" t="s">
        <v>291</v>
      </c>
      <c r="G20" s="220">
        <v>2</v>
      </c>
      <c r="H20" s="77" t="s">
        <v>328</v>
      </c>
      <c r="I20" s="47"/>
      <c r="J20" s="47"/>
      <c r="K20" s="47"/>
    </row>
    <row r="21" spans="4:11" ht="23.4" x14ac:dyDescent="0.45">
      <c r="D21" s="45"/>
      <c r="E21" s="46"/>
      <c r="F21" s="218" t="s">
        <v>293</v>
      </c>
      <c r="G21" s="219">
        <v>2</v>
      </c>
      <c r="H21" s="77" t="s">
        <v>328</v>
      </c>
      <c r="I21" s="47"/>
      <c r="J21" s="224" t="s">
        <v>321</v>
      </c>
      <c r="K21" s="224" t="s">
        <v>260</v>
      </c>
    </row>
    <row r="22" spans="4:11" ht="23.4" x14ac:dyDescent="0.45">
      <c r="D22" s="45"/>
      <c r="E22" s="46"/>
      <c r="F22" s="218" t="s">
        <v>282</v>
      </c>
      <c r="G22" s="219">
        <v>1</v>
      </c>
      <c r="H22" s="77" t="s">
        <v>328</v>
      </c>
      <c r="I22" s="47"/>
      <c r="J22" s="73" t="s">
        <v>304</v>
      </c>
      <c r="K22" s="69">
        <v>3</v>
      </c>
    </row>
    <row r="23" spans="4:11" ht="23.4" x14ac:dyDescent="0.45">
      <c r="D23" s="45"/>
      <c r="E23" s="46"/>
      <c r="F23" s="218" t="s">
        <v>285</v>
      </c>
      <c r="G23" s="219">
        <v>1</v>
      </c>
      <c r="H23" s="77" t="s">
        <v>332</v>
      </c>
      <c r="I23" s="47"/>
      <c r="J23" s="73" t="s">
        <v>305</v>
      </c>
      <c r="K23" s="69">
        <v>1</v>
      </c>
    </row>
    <row r="24" spans="4:11" ht="23.4" x14ac:dyDescent="0.45">
      <c r="D24" s="48"/>
      <c r="E24" s="48"/>
      <c r="F24" s="218" t="s">
        <v>287</v>
      </c>
      <c r="G24" s="219">
        <v>1</v>
      </c>
      <c r="H24" s="76" t="s">
        <v>328</v>
      </c>
      <c r="I24" s="48"/>
      <c r="J24" s="73" t="s">
        <v>306</v>
      </c>
      <c r="K24" s="69">
        <v>1</v>
      </c>
    </row>
    <row r="25" spans="4:11" ht="23.4" x14ac:dyDescent="0.45">
      <c r="D25" s="45"/>
      <c r="E25" s="46"/>
      <c r="F25" s="218" t="s">
        <v>288</v>
      </c>
      <c r="G25" s="219">
        <v>1</v>
      </c>
      <c r="H25" s="77" t="s">
        <v>328</v>
      </c>
      <c r="I25" s="45"/>
      <c r="J25" s="73" t="s">
        <v>307</v>
      </c>
      <c r="K25" s="69">
        <v>1</v>
      </c>
    </row>
    <row r="26" spans="4:11" ht="23.4" x14ac:dyDescent="0.45">
      <c r="F26" s="218" t="s">
        <v>290</v>
      </c>
      <c r="G26" s="219">
        <v>1</v>
      </c>
      <c r="H26" s="76" t="s">
        <v>328</v>
      </c>
      <c r="J26" s="73" t="s">
        <v>308</v>
      </c>
      <c r="K26" s="69">
        <v>1</v>
      </c>
    </row>
    <row r="27" spans="4:11" ht="23.4" x14ac:dyDescent="0.45">
      <c r="F27" s="221" t="s">
        <v>292</v>
      </c>
      <c r="G27" s="219">
        <v>1</v>
      </c>
      <c r="H27" s="76" t="s">
        <v>328</v>
      </c>
      <c r="J27" s="73" t="s">
        <v>310</v>
      </c>
      <c r="K27" s="69">
        <v>1</v>
      </c>
    </row>
    <row r="28" spans="4:11" ht="23.4" x14ac:dyDescent="0.45">
      <c r="F28" s="218" t="s">
        <v>294</v>
      </c>
      <c r="G28" s="219">
        <v>1</v>
      </c>
      <c r="H28" s="76" t="s">
        <v>328</v>
      </c>
      <c r="J28" s="73" t="s">
        <v>311</v>
      </c>
      <c r="K28" s="69">
        <v>1</v>
      </c>
    </row>
    <row r="29" spans="4:11" ht="23.4" x14ac:dyDescent="0.45">
      <c r="F29" s="218" t="s">
        <v>295</v>
      </c>
      <c r="G29" s="219">
        <v>1</v>
      </c>
      <c r="H29" s="76" t="s">
        <v>328</v>
      </c>
      <c r="J29" s="74" t="s">
        <v>312</v>
      </c>
      <c r="K29" s="69">
        <v>0</v>
      </c>
    </row>
    <row r="30" spans="4:11" ht="23.4" x14ac:dyDescent="0.45">
      <c r="F30" s="218" t="s">
        <v>296</v>
      </c>
      <c r="G30" s="220">
        <v>1</v>
      </c>
      <c r="H30" s="76" t="s">
        <v>328</v>
      </c>
      <c r="J30" s="73" t="s">
        <v>313</v>
      </c>
      <c r="K30" s="69">
        <v>1</v>
      </c>
    </row>
    <row r="31" spans="4:11" ht="23.4" x14ac:dyDescent="0.45">
      <c r="F31" s="218" t="s">
        <v>283</v>
      </c>
      <c r="G31" s="219">
        <v>0</v>
      </c>
      <c r="H31" s="76"/>
      <c r="J31" s="73" t="s">
        <v>314</v>
      </c>
      <c r="K31" s="69">
        <v>1</v>
      </c>
    </row>
    <row r="32" spans="4:11" ht="23.4" x14ac:dyDescent="0.45">
      <c r="F32" s="218" t="s">
        <v>284</v>
      </c>
      <c r="G32" s="219">
        <v>0</v>
      </c>
      <c r="H32" s="76"/>
      <c r="J32" s="73" t="s">
        <v>315</v>
      </c>
      <c r="K32" s="69">
        <v>1</v>
      </c>
    </row>
    <row r="33" spans="6:11" ht="23.4" x14ac:dyDescent="0.45">
      <c r="F33" s="218" t="s">
        <v>286</v>
      </c>
      <c r="G33" s="219">
        <v>0</v>
      </c>
      <c r="H33" s="76"/>
      <c r="J33" s="73" t="s">
        <v>316</v>
      </c>
      <c r="K33" s="69">
        <v>1</v>
      </c>
    </row>
    <row r="34" spans="6:11" ht="24" thickBot="1" x14ac:dyDescent="0.5">
      <c r="F34" s="222" t="s">
        <v>289</v>
      </c>
      <c r="G34" s="223">
        <v>0</v>
      </c>
      <c r="H34" s="76"/>
      <c r="J34" s="73" t="s">
        <v>317</v>
      </c>
      <c r="K34" s="69">
        <v>1</v>
      </c>
    </row>
    <row r="35" spans="6:11" ht="23.4" x14ac:dyDescent="0.45">
      <c r="J35" s="73" t="s">
        <v>318</v>
      </c>
      <c r="K35" s="69">
        <v>1</v>
      </c>
    </row>
    <row r="36" spans="6:11" ht="23.4" x14ac:dyDescent="0.45">
      <c r="J36" s="73" t="s">
        <v>319</v>
      </c>
      <c r="K36" s="69">
        <v>1</v>
      </c>
    </row>
    <row r="37" spans="6:11" ht="24" thickBot="1" x14ac:dyDescent="0.5">
      <c r="J37" s="70" t="s">
        <v>322</v>
      </c>
      <c r="K37" s="72">
        <v>4</v>
      </c>
    </row>
  </sheetData>
  <sortState xmlns:xlrd2="http://schemas.microsoft.com/office/spreadsheetml/2017/richdata2" ref="F19:G34">
    <sortCondition descending="1" ref="G19:G34"/>
  </sortState>
  <mergeCells count="10">
    <mergeCell ref="G1:I2"/>
    <mergeCell ref="A9:B9"/>
    <mergeCell ref="A10:B10"/>
    <mergeCell ref="A11:B11"/>
    <mergeCell ref="A3:B3"/>
    <mergeCell ref="A4:B4"/>
    <mergeCell ref="A5:B5"/>
    <mergeCell ref="A6:B6"/>
    <mergeCell ref="A7:B7"/>
    <mergeCell ref="A8:B8"/>
  </mergeCells>
  <phoneticPr fontId="10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ABE46-8ECD-41B4-A839-EB2E5876E302}">
  <dimension ref="A1:O108"/>
  <sheetViews>
    <sheetView tabSelected="1" zoomScale="74" workbookViewId="0">
      <selection activeCell="P27" sqref="P27"/>
    </sheetView>
  </sheetViews>
  <sheetFormatPr defaultColWidth="8.6640625" defaultRowHeight="14.4" x14ac:dyDescent="0.3"/>
  <cols>
    <col min="1" max="1" width="22.33203125" customWidth="1"/>
    <col min="2" max="2" width="18" customWidth="1"/>
    <col min="3" max="3" width="26.5546875" customWidth="1"/>
    <col min="4" max="4" width="20.6640625" customWidth="1"/>
    <col min="5" max="5" width="64.77734375" customWidth="1"/>
    <col min="6" max="6" width="26.33203125" customWidth="1"/>
    <col min="7" max="9" width="28" customWidth="1"/>
    <col min="10" max="12" width="24.44140625" customWidth="1"/>
    <col min="13" max="13" width="23.33203125" customWidth="1"/>
    <col min="14" max="14" width="21.109375" customWidth="1"/>
    <col min="15" max="15" width="20.77734375" customWidth="1"/>
  </cols>
  <sheetData>
    <row r="1" spans="1:14" ht="17.399999999999999" x14ac:dyDescent="0.3">
      <c r="A1" s="254" t="s">
        <v>338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</row>
    <row r="2" spans="1:14" x14ac:dyDescent="0.3">
      <c r="A2" s="255"/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  <c r="N2" s="255"/>
    </row>
    <row r="3" spans="1:14" ht="10.199999999999999" customHeight="1" x14ac:dyDescent="0.3"/>
    <row r="4" spans="1:14" ht="37.799999999999997" customHeight="1" thickBot="1" x14ac:dyDescent="0.4">
      <c r="A4" s="256" t="s">
        <v>337</v>
      </c>
      <c r="B4" s="274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</row>
    <row r="5" spans="1:14" ht="49.2" customHeight="1" thickBot="1" x14ac:dyDescent="0.35">
      <c r="A5" s="80" t="s">
        <v>1</v>
      </c>
      <c r="B5" s="80" t="s">
        <v>2</v>
      </c>
      <c r="C5" s="80" t="s">
        <v>237</v>
      </c>
      <c r="D5" s="81" t="s">
        <v>238</v>
      </c>
      <c r="E5" s="82" t="s">
        <v>243</v>
      </c>
      <c r="F5" s="82" t="s">
        <v>244</v>
      </c>
      <c r="G5" s="78" t="s">
        <v>239</v>
      </c>
      <c r="H5" s="83" t="s">
        <v>243</v>
      </c>
      <c r="I5" s="83" t="s">
        <v>244</v>
      </c>
      <c r="J5" s="78" t="s">
        <v>240</v>
      </c>
      <c r="K5" s="83" t="s">
        <v>243</v>
      </c>
      <c r="L5" s="83" t="s">
        <v>244</v>
      </c>
      <c r="M5" s="84" t="s">
        <v>242</v>
      </c>
      <c r="N5" s="85" t="s">
        <v>241</v>
      </c>
    </row>
    <row r="6" spans="1:14" ht="18" customHeight="1" x14ac:dyDescent="0.35">
      <c r="A6" s="86" t="s">
        <v>3</v>
      </c>
      <c r="B6" s="87">
        <v>14</v>
      </c>
      <c r="C6" s="87"/>
      <c r="D6" s="88">
        <v>8</v>
      </c>
      <c r="E6" s="89">
        <v>6</v>
      </c>
      <c r="F6" s="90">
        <v>2</v>
      </c>
      <c r="G6" s="91">
        <v>3</v>
      </c>
      <c r="H6" s="92">
        <v>1</v>
      </c>
      <c r="I6" s="93">
        <v>2</v>
      </c>
      <c r="J6" s="91">
        <v>3</v>
      </c>
      <c r="K6" s="92">
        <v>1</v>
      </c>
      <c r="L6" s="93">
        <v>2</v>
      </c>
      <c r="M6" s="94"/>
      <c r="N6" s="95"/>
    </row>
    <row r="7" spans="1:14" ht="18" customHeight="1" x14ac:dyDescent="0.35">
      <c r="A7" s="96" t="s">
        <v>4</v>
      </c>
      <c r="B7" s="97">
        <v>20</v>
      </c>
      <c r="C7" s="98"/>
      <c r="D7" s="88">
        <v>3</v>
      </c>
      <c r="E7" s="89">
        <v>2</v>
      </c>
      <c r="F7" s="90">
        <v>1</v>
      </c>
      <c r="G7" s="91">
        <v>12</v>
      </c>
      <c r="H7" s="99">
        <v>9</v>
      </c>
      <c r="I7" s="100">
        <v>3</v>
      </c>
      <c r="J7" s="91">
        <v>5</v>
      </c>
      <c r="K7" s="99">
        <v>2</v>
      </c>
      <c r="L7" s="100">
        <v>3</v>
      </c>
      <c r="M7" s="94"/>
      <c r="N7" s="95"/>
    </row>
    <row r="8" spans="1:14" ht="18" customHeight="1" x14ac:dyDescent="0.35">
      <c r="A8" s="101" t="s">
        <v>5</v>
      </c>
      <c r="B8" s="102">
        <v>23</v>
      </c>
      <c r="C8" s="103"/>
      <c r="D8" s="88">
        <v>14</v>
      </c>
      <c r="E8" s="89">
        <v>5</v>
      </c>
      <c r="F8" s="90">
        <v>9</v>
      </c>
      <c r="G8" s="91">
        <v>9</v>
      </c>
      <c r="H8" s="99">
        <v>8</v>
      </c>
      <c r="I8" s="100">
        <v>1</v>
      </c>
      <c r="J8" s="91">
        <v>4</v>
      </c>
      <c r="K8" s="99">
        <v>4</v>
      </c>
      <c r="L8" s="100">
        <v>0</v>
      </c>
      <c r="M8" s="94"/>
      <c r="N8" s="95"/>
    </row>
    <row r="9" spans="1:14" ht="18" customHeight="1" x14ac:dyDescent="0.35">
      <c r="A9" s="96" t="s">
        <v>6</v>
      </c>
      <c r="B9" s="104">
        <v>20</v>
      </c>
      <c r="C9" s="98"/>
      <c r="D9" s="88">
        <v>10</v>
      </c>
      <c r="E9" s="89">
        <v>2</v>
      </c>
      <c r="F9" s="90">
        <v>8</v>
      </c>
      <c r="G9" s="91">
        <v>8</v>
      </c>
      <c r="H9" s="99">
        <v>3</v>
      </c>
      <c r="I9" s="100">
        <v>5</v>
      </c>
      <c r="J9" s="91">
        <v>2</v>
      </c>
      <c r="K9" s="99">
        <v>1</v>
      </c>
      <c r="L9" s="100">
        <v>1</v>
      </c>
      <c r="M9" s="94"/>
      <c r="N9" s="95"/>
    </row>
    <row r="10" spans="1:14" ht="18" customHeight="1" x14ac:dyDescent="0.35">
      <c r="A10" s="86" t="s">
        <v>7</v>
      </c>
      <c r="B10" s="87">
        <v>24</v>
      </c>
      <c r="C10" s="87"/>
      <c r="D10" s="88">
        <v>6</v>
      </c>
      <c r="E10" s="89">
        <v>4</v>
      </c>
      <c r="F10" s="90">
        <v>2</v>
      </c>
      <c r="G10" s="91">
        <v>9</v>
      </c>
      <c r="H10" s="99">
        <v>4</v>
      </c>
      <c r="I10" s="100">
        <v>5</v>
      </c>
      <c r="J10" s="91">
        <v>9</v>
      </c>
      <c r="K10" s="99">
        <v>5</v>
      </c>
      <c r="L10" s="100">
        <v>4</v>
      </c>
      <c r="M10" s="94"/>
      <c r="N10" s="95"/>
    </row>
    <row r="11" spans="1:14" ht="18" customHeight="1" x14ac:dyDescent="0.35">
      <c r="A11" s="96" t="s">
        <v>8</v>
      </c>
      <c r="B11" s="98">
        <v>22</v>
      </c>
      <c r="C11" s="98"/>
      <c r="D11" s="88">
        <v>7</v>
      </c>
      <c r="E11" s="89">
        <v>3</v>
      </c>
      <c r="F11" s="90">
        <v>4</v>
      </c>
      <c r="G11" s="91">
        <v>9</v>
      </c>
      <c r="H11" s="99">
        <v>3</v>
      </c>
      <c r="I11" s="100">
        <v>6</v>
      </c>
      <c r="J11" s="91">
        <v>6</v>
      </c>
      <c r="K11" s="99">
        <v>1</v>
      </c>
      <c r="L11" s="100">
        <v>5</v>
      </c>
      <c r="M11" s="94"/>
      <c r="N11" s="95"/>
    </row>
    <row r="12" spans="1:14" ht="18" customHeight="1" thickBot="1" x14ac:dyDescent="0.4">
      <c r="A12" s="105" t="s">
        <v>9</v>
      </c>
      <c r="B12" s="106">
        <v>15</v>
      </c>
      <c r="C12" s="106"/>
      <c r="D12" s="88">
        <v>2</v>
      </c>
      <c r="E12" s="107">
        <v>0</v>
      </c>
      <c r="F12" s="108">
        <v>2</v>
      </c>
      <c r="G12" s="91">
        <v>6</v>
      </c>
      <c r="H12" s="109">
        <v>5</v>
      </c>
      <c r="I12" s="110">
        <v>1</v>
      </c>
      <c r="J12" s="91">
        <v>7</v>
      </c>
      <c r="K12" s="109">
        <v>3</v>
      </c>
      <c r="L12" s="110">
        <v>4</v>
      </c>
      <c r="M12" s="94"/>
      <c r="N12" s="95"/>
    </row>
    <row r="13" spans="1:14" ht="19.5" customHeight="1" thickBot="1" x14ac:dyDescent="0.4">
      <c r="A13" s="111" t="s">
        <v>10</v>
      </c>
      <c r="B13" s="112">
        <f>AVERAGE(B6:B12)</f>
        <v>19.714285714285715</v>
      </c>
      <c r="C13" s="113">
        <v>23</v>
      </c>
      <c r="D13" s="114">
        <f t="shared" ref="D13:L13" si="0">AVERAGE(D6:D12)</f>
        <v>7.1428571428571432</v>
      </c>
      <c r="E13" s="115">
        <f t="shared" si="0"/>
        <v>3.1428571428571428</v>
      </c>
      <c r="F13" s="116">
        <f t="shared" si="0"/>
        <v>4</v>
      </c>
      <c r="G13" s="114">
        <f t="shared" si="0"/>
        <v>8</v>
      </c>
      <c r="H13" s="115">
        <f t="shared" si="0"/>
        <v>4.7142857142857144</v>
      </c>
      <c r="I13" s="116">
        <f t="shared" si="0"/>
        <v>3.2857142857142856</v>
      </c>
      <c r="J13" s="114">
        <f t="shared" si="0"/>
        <v>5.1428571428571432</v>
      </c>
      <c r="K13" s="117">
        <f t="shared" si="0"/>
        <v>2.4285714285714284</v>
      </c>
      <c r="L13" s="118">
        <f t="shared" si="0"/>
        <v>2.7142857142857144</v>
      </c>
      <c r="M13" s="119">
        <f>AVERAGE(D13:K13)</f>
        <v>4.7321428571428577</v>
      </c>
      <c r="N13" s="120">
        <v>6</v>
      </c>
    </row>
    <row r="15" spans="1:14" ht="15" thickBot="1" x14ac:dyDescent="0.35">
      <c r="A15" s="257"/>
      <c r="B15" s="257"/>
    </row>
    <row r="16" spans="1:14" ht="27.75" customHeight="1" thickBot="1" x14ac:dyDescent="0.4">
      <c r="A16" s="33"/>
      <c r="B16" s="33"/>
      <c r="E16" s="79"/>
      <c r="F16" s="275" t="s">
        <v>339</v>
      </c>
      <c r="G16" s="276"/>
      <c r="H16" s="276"/>
      <c r="I16" s="276"/>
      <c r="J16" s="277"/>
      <c r="K16" s="79"/>
      <c r="L16" s="79"/>
      <c r="M16" s="79"/>
      <c r="N16" s="79"/>
    </row>
    <row r="17" spans="1:14" ht="18" customHeight="1" x14ac:dyDescent="0.4">
      <c r="A17" s="34"/>
      <c r="B17" s="23"/>
      <c r="D17" s="24"/>
      <c r="E17" s="225" t="s">
        <v>258</v>
      </c>
      <c r="F17" s="225"/>
      <c r="G17" s="226"/>
      <c r="H17" s="226"/>
      <c r="I17" s="226"/>
      <c r="J17" s="226"/>
      <c r="K17" s="226"/>
      <c r="L17" s="226"/>
      <c r="M17" s="226"/>
      <c r="N17" s="227"/>
    </row>
    <row r="18" spans="1:14" ht="28.8" customHeight="1" thickBot="1" x14ac:dyDescent="0.45">
      <c r="A18" s="34"/>
      <c r="B18" s="23"/>
      <c r="D18" s="28"/>
      <c r="E18" s="228" t="s">
        <v>11</v>
      </c>
      <c r="F18" s="229" t="s">
        <v>3</v>
      </c>
      <c r="G18" s="230" t="s">
        <v>4</v>
      </c>
      <c r="H18" s="231" t="s">
        <v>5</v>
      </c>
      <c r="I18" s="230" t="s">
        <v>6</v>
      </c>
      <c r="J18" s="231" t="s">
        <v>7</v>
      </c>
      <c r="K18" s="230" t="s">
        <v>8</v>
      </c>
      <c r="L18" s="231" t="s">
        <v>9</v>
      </c>
      <c r="M18" s="232" t="s">
        <v>260</v>
      </c>
      <c r="N18" s="233" t="s">
        <v>261</v>
      </c>
    </row>
    <row r="19" spans="1:14" ht="32.4" customHeight="1" x14ac:dyDescent="0.35">
      <c r="A19" s="34"/>
      <c r="B19" s="23"/>
      <c r="D19" s="37"/>
      <c r="E19" s="234" t="s">
        <v>15</v>
      </c>
      <c r="F19" s="102">
        <v>2</v>
      </c>
      <c r="G19" s="91">
        <v>1</v>
      </c>
      <c r="H19" s="91">
        <v>6</v>
      </c>
      <c r="I19" s="91">
        <v>6</v>
      </c>
      <c r="J19" s="91">
        <v>2</v>
      </c>
      <c r="K19" s="91">
        <v>2</v>
      </c>
      <c r="L19" s="91">
        <v>3</v>
      </c>
      <c r="M19" s="235">
        <f>AVERAGE(F19:L19)</f>
        <v>3.1428571428571428</v>
      </c>
      <c r="N19" s="236"/>
    </row>
    <row r="20" spans="1:14" ht="34.200000000000003" customHeight="1" x14ac:dyDescent="0.35">
      <c r="A20" s="34"/>
      <c r="B20" s="23"/>
      <c r="D20" s="37"/>
      <c r="E20" s="234" t="s">
        <v>18</v>
      </c>
      <c r="F20" s="102">
        <v>2</v>
      </c>
      <c r="G20" s="91">
        <v>3</v>
      </c>
      <c r="H20" s="91">
        <v>7</v>
      </c>
      <c r="I20" s="91">
        <v>1</v>
      </c>
      <c r="J20" s="91"/>
      <c r="K20" s="91">
        <v>1</v>
      </c>
      <c r="L20" s="91">
        <v>1</v>
      </c>
      <c r="M20" s="235">
        <f t="shared" ref="M20:M25" si="1">AVERAGE(F20:L20)</f>
        <v>2.5</v>
      </c>
      <c r="N20" s="236"/>
    </row>
    <row r="21" spans="1:14" ht="33" customHeight="1" x14ac:dyDescent="0.35">
      <c r="A21" s="34"/>
      <c r="B21" s="23"/>
      <c r="D21" s="37"/>
      <c r="E21" s="234" t="s">
        <v>16</v>
      </c>
      <c r="F21" s="102">
        <v>5</v>
      </c>
      <c r="G21" s="91">
        <v>5</v>
      </c>
      <c r="H21" s="91">
        <v>4</v>
      </c>
      <c r="I21" s="91">
        <v>2</v>
      </c>
      <c r="J21" s="91"/>
      <c r="K21" s="91">
        <v>5</v>
      </c>
      <c r="L21" s="91">
        <v>5</v>
      </c>
      <c r="M21" s="235">
        <f t="shared" si="1"/>
        <v>4.333333333333333</v>
      </c>
      <c r="N21" s="236"/>
    </row>
    <row r="22" spans="1:14" ht="36.6" customHeight="1" x14ac:dyDescent="0.35">
      <c r="A22" s="34"/>
      <c r="B22" s="23"/>
      <c r="D22" s="37"/>
      <c r="E22" s="234" t="s">
        <v>13</v>
      </c>
      <c r="F22" s="102">
        <v>1</v>
      </c>
      <c r="G22" s="91">
        <v>2</v>
      </c>
      <c r="H22" s="91">
        <v>3</v>
      </c>
      <c r="I22" s="91">
        <v>5</v>
      </c>
      <c r="J22" s="91"/>
      <c r="K22" s="91">
        <v>6</v>
      </c>
      <c r="L22" s="91">
        <v>1</v>
      </c>
      <c r="M22" s="235">
        <f t="shared" si="1"/>
        <v>3</v>
      </c>
      <c r="N22" s="236"/>
    </row>
    <row r="23" spans="1:14" ht="36.6" customHeight="1" x14ac:dyDescent="0.35">
      <c r="A23" s="34"/>
      <c r="B23" s="23"/>
      <c r="D23" s="37"/>
      <c r="E23" s="234" t="s">
        <v>14</v>
      </c>
      <c r="F23" s="102">
        <v>1</v>
      </c>
      <c r="G23" s="91">
        <v>4</v>
      </c>
      <c r="H23" s="91">
        <v>1</v>
      </c>
      <c r="I23" s="91">
        <v>3</v>
      </c>
      <c r="J23" s="91"/>
      <c r="K23" s="91">
        <v>1</v>
      </c>
      <c r="L23" s="91">
        <v>3</v>
      </c>
      <c r="M23" s="235">
        <f t="shared" si="1"/>
        <v>2.1666666666666665</v>
      </c>
      <c r="N23" s="236"/>
    </row>
    <row r="24" spans="1:14" ht="37.200000000000003" customHeight="1" x14ac:dyDescent="0.35">
      <c r="A24" s="35"/>
      <c r="D24" s="37"/>
      <c r="E24" s="234" t="s">
        <v>17</v>
      </c>
      <c r="F24" s="102">
        <v>3</v>
      </c>
      <c r="G24" s="91">
        <v>2</v>
      </c>
      <c r="H24" s="91">
        <v>2</v>
      </c>
      <c r="I24" s="91">
        <v>2</v>
      </c>
      <c r="J24" s="91"/>
      <c r="K24" s="91">
        <v>4</v>
      </c>
      <c r="L24" s="91">
        <v>1</v>
      </c>
      <c r="M24" s="235">
        <f t="shared" si="1"/>
        <v>2.3333333333333335</v>
      </c>
      <c r="N24" s="236"/>
    </row>
    <row r="25" spans="1:14" ht="27" customHeight="1" x14ac:dyDescent="0.35">
      <c r="D25" s="37"/>
      <c r="E25" s="234" t="s">
        <v>12</v>
      </c>
      <c r="F25" s="102">
        <v>0</v>
      </c>
      <c r="G25" s="91">
        <v>3</v>
      </c>
      <c r="H25" s="91">
        <v>0</v>
      </c>
      <c r="I25" s="91">
        <v>1</v>
      </c>
      <c r="J25" s="91"/>
      <c r="K25" s="91">
        <v>3</v>
      </c>
      <c r="L25" s="91">
        <v>1</v>
      </c>
      <c r="M25" s="235">
        <f t="shared" si="1"/>
        <v>1.3333333333333333</v>
      </c>
      <c r="N25" s="237"/>
    </row>
    <row r="26" spans="1:14" ht="33.6" customHeight="1" thickBot="1" x14ac:dyDescent="0.4">
      <c r="E26" s="238" t="s">
        <v>268</v>
      </c>
      <c r="F26" s="239">
        <f t="shared" ref="F26:L26" si="2">SUM(F19:F25)</f>
        <v>14</v>
      </c>
      <c r="G26" s="239">
        <f t="shared" si="2"/>
        <v>20</v>
      </c>
      <c r="H26" s="239">
        <f t="shared" si="2"/>
        <v>23</v>
      </c>
      <c r="I26" s="239">
        <f t="shared" si="2"/>
        <v>20</v>
      </c>
      <c r="J26" s="239">
        <f t="shared" si="2"/>
        <v>2</v>
      </c>
      <c r="K26" s="239">
        <f t="shared" si="2"/>
        <v>22</v>
      </c>
      <c r="L26" s="239">
        <f t="shared" si="2"/>
        <v>15</v>
      </c>
      <c r="M26" s="240"/>
      <c r="N26" s="241"/>
    </row>
    <row r="27" spans="1:14" ht="24.75" customHeight="1" x14ac:dyDescent="0.3"/>
    <row r="28" spans="1:14" ht="18" customHeight="1" thickBot="1" x14ac:dyDescent="0.35"/>
    <row r="29" spans="1:14" ht="33" thickBot="1" x14ac:dyDescent="0.35">
      <c r="F29" s="271" t="s">
        <v>267</v>
      </c>
      <c r="G29" s="272"/>
      <c r="H29" s="272"/>
      <c r="I29" s="272"/>
      <c r="J29" s="273"/>
    </row>
    <row r="30" spans="1:14" ht="18" customHeight="1" x14ac:dyDescent="0.3">
      <c r="E30" s="29"/>
      <c r="F30" s="29"/>
      <c r="G30" s="25"/>
      <c r="H30" s="25"/>
      <c r="I30" s="25"/>
      <c r="J30" s="25"/>
      <c r="K30" s="25"/>
      <c r="L30" s="25"/>
      <c r="M30" s="25"/>
      <c r="N30" s="26"/>
    </row>
    <row r="31" spans="1:14" ht="19.2" customHeight="1" thickBot="1" x14ac:dyDescent="0.35">
      <c r="E31" s="141" t="s">
        <v>245</v>
      </c>
      <c r="F31" s="126" t="s">
        <v>3</v>
      </c>
      <c r="G31" s="142" t="s">
        <v>4</v>
      </c>
      <c r="H31" s="128" t="s">
        <v>5</v>
      </c>
      <c r="I31" s="142" t="s">
        <v>6</v>
      </c>
      <c r="J31" s="128" t="s">
        <v>7</v>
      </c>
      <c r="K31" s="142" t="s">
        <v>8</v>
      </c>
      <c r="L31" s="128" t="s">
        <v>9</v>
      </c>
      <c r="M31" s="143" t="s">
        <v>269</v>
      </c>
      <c r="N31" s="144" t="s">
        <v>260</v>
      </c>
    </row>
    <row r="32" spans="1:14" ht="20.399999999999999" customHeight="1" x14ac:dyDescent="0.4">
      <c r="E32" s="131" t="s">
        <v>139</v>
      </c>
      <c r="F32" s="145">
        <v>6</v>
      </c>
      <c r="G32" s="146">
        <v>0</v>
      </c>
      <c r="H32" s="146">
        <v>5</v>
      </c>
      <c r="I32" s="147">
        <v>9</v>
      </c>
      <c r="J32" s="146">
        <v>0</v>
      </c>
      <c r="K32" s="146">
        <v>3</v>
      </c>
      <c r="L32" s="146">
        <v>2</v>
      </c>
      <c r="M32" s="148">
        <f>SUM(F32:L32)</f>
        <v>25</v>
      </c>
      <c r="N32" s="149">
        <f>AVERAGE(F32:L32)</f>
        <v>3.5714285714285716</v>
      </c>
    </row>
    <row r="33" spans="3:14" ht="18" customHeight="1" x14ac:dyDescent="0.4">
      <c r="E33" s="131" t="s">
        <v>79</v>
      </c>
      <c r="F33" s="145">
        <v>1</v>
      </c>
      <c r="G33" s="146">
        <v>1</v>
      </c>
      <c r="H33" s="146">
        <v>10</v>
      </c>
      <c r="I33" s="147">
        <v>4</v>
      </c>
      <c r="J33" s="146">
        <v>0</v>
      </c>
      <c r="K33" s="146">
        <v>1</v>
      </c>
      <c r="L33" s="146">
        <v>2</v>
      </c>
      <c r="M33" s="148">
        <f t="shared" ref="M33:M39" si="3">SUM(F33:L33)</f>
        <v>19</v>
      </c>
      <c r="N33" s="149">
        <f t="shared" ref="N33:N39" si="4">AVERAGE(F33:L33)</f>
        <v>2.7142857142857144</v>
      </c>
    </row>
    <row r="34" spans="3:14" ht="18" customHeight="1" x14ac:dyDescent="0.4">
      <c r="E34" s="131" t="s">
        <v>92</v>
      </c>
      <c r="F34" s="145">
        <v>1</v>
      </c>
      <c r="G34" s="146">
        <v>1</v>
      </c>
      <c r="H34" s="146">
        <v>0</v>
      </c>
      <c r="I34" s="147">
        <v>2</v>
      </c>
      <c r="J34" s="146">
        <v>1</v>
      </c>
      <c r="K34" s="146">
        <v>2</v>
      </c>
      <c r="L34" s="146">
        <v>0</v>
      </c>
      <c r="M34" s="148">
        <f t="shared" si="3"/>
        <v>7</v>
      </c>
      <c r="N34" s="149">
        <f t="shared" si="4"/>
        <v>1</v>
      </c>
    </row>
    <row r="35" spans="3:14" ht="21" x14ac:dyDescent="0.4">
      <c r="E35" s="131" t="s">
        <v>262</v>
      </c>
      <c r="F35" s="145">
        <v>4</v>
      </c>
      <c r="G35" s="146">
        <v>0</v>
      </c>
      <c r="H35" s="146">
        <v>2</v>
      </c>
      <c r="I35" s="147">
        <v>2</v>
      </c>
      <c r="J35" s="146">
        <v>1</v>
      </c>
      <c r="K35" s="146">
        <v>0</v>
      </c>
      <c r="L35" s="146">
        <v>0</v>
      </c>
      <c r="M35" s="148">
        <f t="shared" si="3"/>
        <v>9</v>
      </c>
      <c r="N35" s="149">
        <f t="shared" si="4"/>
        <v>1.2857142857142858</v>
      </c>
    </row>
    <row r="36" spans="3:14" ht="21" x14ac:dyDescent="0.4">
      <c r="E36" s="131" t="s">
        <v>265</v>
      </c>
      <c r="F36" s="145">
        <v>0</v>
      </c>
      <c r="G36" s="146">
        <v>0</v>
      </c>
      <c r="H36" s="146">
        <v>0</v>
      </c>
      <c r="I36" s="147">
        <v>0</v>
      </c>
      <c r="J36" s="146">
        <v>0</v>
      </c>
      <c r="K36" s="146">
        <v>1</v>
      </c>
      <c r="L36" s="146">
        <v>0</v>
      </c>
      <c r="M36" s="148">
        <f t="shared" si="3"/>
        <v>1</v>
      </c>
      <c r="N36" s="149">
        <f t="shared" si="4"/>
        <v>0.14285714285714285</v>
      </c>
    </row>
    <row r="37" spans="3:14" ht="21" x14ac:dyDescent="0.4">
      <c r="E37" s="131" t="s">
        <v>254</v>
      </c>
      <c r="F37" s="145">
        <v>0</v>
      </c>
      <c r="G37" s="146">
        <v>1</v>
      </c>
      <c r="H37" s="146">
        <v>2</v>
      </c>
      <c r="I37" s="147">
        <v>3</v>
      </c>
      <c r="J37" s="146">
        <v>4</v>
      </c>
      <c r="K37" s="146">
        <v>5</v>
      </c>
      <c r="L37" s="146">
        <v>0</v>
      </c>
      <c r="M37" s="148">
        <f t="shared" si="3"/>
        <v>15</v>
      </c>
      <c r="N37" s="149">
        <f t="shared" si="4"/>
        <v>2.1428571428571428</v>
      </c>
    </row>
    <row r="38" spans="3:14" ht="21" x14ac:dyDescent="0.4">
      <c r="E38" s="131" t="s">
        <v>255</v>
      </c>
      <c r="F38" s="145">
        <v>1</v>
      </c>
      <c r="G38" s="146">
        <v>1</v>
      </c>
      <c r="H38" s="146">
        <v>0</v>
      </c>
      <c r="I38" s="147">
        <v>5</v>
      </c>
      <c r="J38" s="146">
        <v>0</v>
      </c>
      <c r="K38" s="146">
        <v>2</v>
      </c>
      <c r="L38" s="146">
        <v>0</v>
      </c>
      <c r="M38" s="148">
        <f t="shared" si="3"/>
        <v>9</v>
      </c>
      <c r="N38" s="149">
        <f t="shared" si="4"/>
        <v>1.2857142857142858</v>
      </c>
    </row>
    <row r="39" spans="3:14" ht="21.6" thickBot="1" x14ac:dyDescent="0.45">
      <c r="E39" s="137" t="s">
        <v>266</v>
      </c>
      <c r="F39" s="150">
        <v>0</v>
      </c>
      <c r="G39" s="150">
        <v>0</v>
      </c>
      <c r="H39" s="150">
        <v>0</v>
      </c>
      <c r="I39" s="150">
        <v>0</v>
      </c>
      <c r="J39" s="151">
        <v>0</v>
      </c>
      <c r="K39" s="150">
        <v>0</v>
      </c>
      <c r="L39" s="151">
        <v>0</v>
      </c>
      <c r="M39" s="152">
        <f t="shared" si="3"/>
        <v>0</v>
      </c>
      <c r="N39" s="153">
        <f t="shared" si="4"/>
        <v>0</v>
      </c>
    </row>
    <row r="43" spans="3:14" ht="19.8" x14ac:dyDescent="0.4">
      <c r="C43" s="250"/>
      <c r="D43" s="250"/>
      <c r="E43" s="49"/>
    </row>
    <row r="44" spans="3:14" ht="19.8" x14ac:dyDescent="0.4">
      <c r="C44" s="250"/>
      <c r="D44" s="250"/>
      <c r="E44" s="49"/>
    </row>
    <row r="45" spans="3:14" ht="19.8" x14ac:dyDescent="0.4">
      <c r="C45" s="250"/>
      <c r="D45" s="250"/>
      <c r="E45" s="49"/>
    </row>
    <row r="46" spans="3:14" ht="19.8" x14ac:dyDescent="0.4">
      <c r="C46" s="250"/>
      <c r="D46" s="250"/>
      <c r="E46" s="49"/>
    </row>
    <row r="47" spans="3:14" ht="19.8" x14ac:dyDescent="0.4">
      <c r="C47" s="250"/>
      <c r="D47" s="250"/>
      <c r="E47" s="49"/>
    </row>
    <row r="48" spans="3:14" ht="19.8" x14ac:dyDescent="0.4">
      <c r="C48" s="250"/>
      <c r="D48" s="250"/>
      <c r="E48" s="49"/>
    </row>
    <row r="49" spans="3:15" ht="19.8" x14ac:dyDescent="0.4">
      <c r="C49" s="250"/>
      <c r="D49" s="250"/>
      <c r="E49" s="49"/>
    </row>
    <row r="50" spans="3:15" ht="19.8" x14ac:dyDescent="0.4">
      <c r="C50" s="250"/>
      <c r="D50" s="250"/>
      <c r="E50" s="49"/>
    </row>
    <row r="51" spans="3:15" ht="15.6" x14ac:dyDescent="0.3">
      <c r="E51" s="49"/>
    </row>
    <row r="52" spans="3:15" ht="15.6" x14ac:dyDescent="0.3">
      <c r="E52" s="49"/>
    </row>
    <row r="53" spans="3:15" ht="15.6" x14ac:dyDescent="0.3">
      <c r="E53" s="49"/>
    </row>
    <row r="54" spans="3:15" ht="15.6" x14ac:dyDescent="0.3">
      <c r="E54" s="49"/>
    </row>
    <row r="55" spans="3:15" ht="15.6" x14ac:dyDescent="0.3">
      <c r="E55" s="49"/>
    </row>
    <row r="56" spans="3:15" ht="15.6" x14ac:dyDescent="0.3">
      <c r="E56" s="49"/>
    </row>
    <row r="57" spans="3:15" ht="15.6" x14ac:dyDescent="0.3">
      <c r="E57" s="49"/>
    </row>
    <row r="58" spans="3:15" ht="15.6" x14ac:dyDescent="0.3">
      <c r="E58" s="49"/>
    </row>
    <row r="59" spans="3:15" ht="16.2" thickBot="1" x14ac:dyDescent="0.35">
      <c r="E59" s="49"/>
    </row>
    <row r="60" spans="3:15" ht="33" thickBot="1" x14ac:dyDescent="0.35">
      <c r="G60" s="271" t="s">
        <v>298</v>
      </c>
      <c r="H60" s="272"/>
      <c r="I60" s="272"/>
      <c r="J60" s="272"/>
      <c r="K60" s="273"/>
    </row>
    <row r="61" spans="3:15" ht="23.4" x14ac:dyDescent="0.45">
      <c r="E61" s="29"/>
      <c r="F61" s="62"/>
      <c r="G61" s="63"/>
      <c r="H61" s="63"/>
      <c r="I61" s="63"/>
      <c r="J61" s="63"/>
      <c r="K61" s="63"/>
      <c r="L61" s="63"/>
      <c r="M61" s="63"/>
      <c r="N61" s="63"/>
      <c r="O61" s="64"/>
    </row>
    <row r="62" spans="3:15" ht="22.8" x14ac:dyDescent="0.3">
      <c r="E62" s="30" t="s">
        <v>297</v>
      </c>
      <c r="F62" s="65" t="s">
        <v>3</v>
      </c>
      <c r="G62" s="38" t="s">
        <v>4</v>
      </c>
      <c r="H62" s="65" t="s">
        <v>5</v>
      </c>
      <c r="I62" s="38" t="s">
        <v>6</v>
      </c>
      <c r="J62" s="65" t="s">
        <v>7</v>
      </c>
      <c r="K62" s="38" t="s">
        <v>8</v>
      </c>
      <c r="L62" s="65" t="s">
        <v>9</v>
      </c>
      <c r="M62" s="38" t="s">
        <v>269</v>
      </c>
      <c r="N62" s="38" t="s">
        <v>260</v>
      </c>
      <c r="O62" s="66" t="s">
        <v>299</v>
      </c>
    </row>
    <row r="63" spans="3:15" ht="25.8" x14ac:dyDescent="0.5">
      <c r="E63" s="54" t="s">
        <v>281</v>
      </c>
      <c r="F63" s="51">
        <v>5</v>
      </c>
      <c r="G63" s="52">
        <v>0</v>
      </c>
      <c r="H63" s="52">
        <v>2</v>
      </c>
      <c r="I63" s="53">
        <v>6</v>
      </c>
      <c r="J63" s="52">
        <v>0</v>
      </c>
      <c r="K63" s="52">
        <v>4</v>
      </c>
      <c r="L63" s="52">
        <v>2</v>
      </c>
      <c r="M63" s="52">
        <f>SUM(F63:L63)</f>
        <v>19</v>
      </c>
      <c r="N63" s="60">
        <f>AVERAGE(F63:L63)</f>
        <v>2.7142857142857144</v>
      </c>
      <c r="O63" s="58">
        <v>3</v>
      </c>
    </row>
    <row r="64" spans="3:15" ht="25.8" x14ac:dyDescent="0.5">
      <c r="E64" s="54" t="s">
        <v>282</v>
      </c>
      <c r="F64" s="51">
        <v>0</v>
      </c>
      <c r="G64" s="52">
        <v>0</v>
      </c>
      <c r="H64" s="52">
        <v>2</v>
      </c>
      <c r="I64" s="53">
        <v>7</v>
      </c>
      <c r="J64" s="52">
        <v>0</v>
      </c>
      <c r="K64" s="52">
        <v>0</v>
      </c>
      <c r="L64" s="52">
        <v>0</v>
      </c>
      <c r="M64" s="52">
        <f t="shared" ref="M64:M78" si="5">SUM(F64:L64)</f>
        <v>9</v>
      </c>
      <c r="N64" s="60">
        <f t="shared" ref="N64:N78" si="6">AVERAGE(F64:L64)</f>
        <v>1.2857142857142858</v>
      </c>
      <c r="O64" s="58">
        <v>1</v>
      </c>
    </row>
    <row r="65" spans="2:15" ht="25.8" x14ac:dyDescent="0.5">
      <c r="E65" s="54" t="s">
        <v>283</v>
      </c>
      <c r="F65" s="51">
        <v>0</v>
      </c>
      <c r="G65" s="52">
        <v>0</v>
      </c>
      <c r="H65" s="52">
        <v>0</v>
      </c>
      <c r="I65" s="53">
        <v>0</v>
      </c>
      <c r="J65" s="52">
        <v>0</v>
      </c>
      <c r="K65" s="52">
        <v>0</v>
      </c>
      <c r="L65" s="52">
        <v>0</v>
      </c>
      <c r="M65" s="52">
        <f t="shared" si="5"/>
        <v>0</v>
      </c>
      <c r="N65" s="60">
        <f t="shared" si="6"/>
        <v>0</v>
      </c>
      <c r="O65" s="58">
        <v>0</v>
      </c>
    </row>
    <row r="66" spans="2:15" ht="25.8" x14ac:dyDescent="0.5">
      <c r="E66" s="54" t="s">
        <v>284</v>
      </c>
      <c r="F66" s="51">
        <v>0</v>
      </c>
      <c r="G66" s="52">
        <v>0</v>
      </c>
      <c r="H66" s="52">
        <v>0</v>
      </c>
      <c r="I66" s="53">
        <v>0</v>
      </c>
      <c r="J66" s="52">
        <v>0</v>
      </c>
      <c r="K66" s="52">
        <v>0</v>
      </c>
      <c r="L66" s="52">
        <v>0</v>
      </c>
      <c r="M66" s="52">
        <f t="shared" si="5"/>
        <v>0</v>
      </c>
      <c r="N66" s="60">
        <f t="shared" si="6"/>
        <v>0</v>
      </c>
      <c r="O66" s="58">
        <v>0</v>
      </c>
    </row>
    <row r="67" spans="2:15" ht="25.8" x14ac:dyDescent="0.5">
      <c r="E67" s="54" t="s">
        <v>285</v>
      </c>
      <c r="F67" s="51">
        <v>0</v>
      </c>
      <c r="G67" s="52">
        <v>0</v>
      </c>
      <c r="H67" s="52">
        <v>0</v>
      </c>
      <c r="I67" s="53">
        <v>7</v>
      </c>
      <c r="J67" s="52">
        <v>0</v>
      </c>
      <c r="K67" s="52">
        <v>1</v>
      </c>
      <c r="L67" s="52">
        <v>0</v>
      </c>
      <c r="M67" s="52">
        <f t="shared" si="5"/>
        <v>8</v>
      </c>
      <c r="N67" s="60">
        <f t="shared" si="6"/>
        <v>1.1428571428571428</v>
      </c>
      <c r="O67" s="58">
        <v>1</v>
      </c>
    </row>
    <row r="68" spans="2:15" ht="25.8" x14ac:dyDescent="0.5">
      <c r="E68" s="54" t="s">
        <v>286</v>
      </c>
      <c r="F68" s="51">
        <v>0</v>
      </c>
      <c r="G68" s="52">
        <v>0</v>
      </c>
      <c r="H68" s="52">
        <v>0</v>
      </c>
      <c r="I68" s="53">
        <v>0</v>
      </c>
      <c r="J68" s="52">
        <v>0</v>
      </c>
      <c r="K68" s="52">
        <v>0</v>
      </c>
      <c r="L68" s="52">
        <v>0</v>
      </c>
      <c r="M68" s="52">
        <f t="shared" si="5"/>
        <v>0</v>
      </c>
      <c r="N68" s="60">
        <f t="shared" si="6"/>
        <v>0</v>
      </c>
      <c r="O68" s="58">
        <v>0</v>
      </c>
    </row>
    <row r="69" spans="2:15" ht="25.8" x14ac:dyDescent="0.5">
      <c r="E69" s="54" t="s">
        <v>287</v>
      </c>
      <c r="F69" s="51">
        <v>1</v>
      </c>
      <c r="G69" s="52">
        <v>0</v>
      </c>
      <c r="H69" s="52">
        <v>3</v>
      </c>
      <c r="I69" s="53">
        <v>1</v>
      </c>
      <c r="J69" s="52">
        <v>1</v>
      </c>
      <c r="K69" s="52">
        <v>4</v>
      </c>
      <c r="L69" s="52">
        <v>0</v>
      </c>
      <c r="M69" s="52">
        <f t="shared" si="5"/>
        <v>10</v>
      </c>
      <c r="N69" s="60">
        <f t="shared" si="6"/>
        <v>1.4285714285714286</v>
      </c>
      <c r="O69" s="58">
        <v>1</v>
      </c>
    </row>
    <row r="70" spans="2:15" ht="25.8" x14ac:dyDescent="0.5">
      <c r="E70" s="54" t="s">
        <v>288</v>
      </c>
      <c r="F70" s="53">
        <v>1</v>
      </c>
      <c r="G70" s="52">
        <v>0</v>
      </c>
      <c r="H70" s="53">
        <v>2</v>
      </c>
      <c r="I70" s="53">
        <v>3</v>
      </c>
      <c r="J70" s="52">
        <v>0</v>
      </c>
      <c r="K70" s="53">
        <v>1</v>
      </c>
      <c r="L70" s="52">
        <v>0</v>
      </c>
      <c r="M70" s="52">
        <f t="shared" si="5"/>
        <v>7</v>
      </c>
      <c r="N70" s="60">
        <f t="shared" si="6"/>
        <v>1</v>
      </c>
      <c r="O70" s="58">
        <v>1</v>
      </c>
    </row>
    <row r="71" spans="2:15" ht="25.8" x14ac:dyDescent="0.5">
      <c r="E71" s="54" t="s">
        <v>289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f t="shared" si="5"/>
        <v>0</v>
      </c>
      <c r="N71" s="60">
        <f t="shared" si="6"/>
        <v>0</v>
      </c>
      <c r="O71" s="58">
        <v>0</v>
      </c>
    </row>
    <row r="72" spans="2:15" ht="25.8" x14ac:dyDescent="0.5">
      <c r="E72" s="54" t="s">
        <v>290</v>
      </c>
      <c r="F72" s="52">
        <v>0</v>
      </c>
      <c r="G72" s="52">
        <v>0</v>
      </c>
      <c r="H72" s="52">
        <v>0</v>
      </c>
      <c r="I72" s="52">
        <v>1</v>
      </c>
      <c r="J72" s="52">
        <v>0</v>
      </c>
      <c r="K72" s="52">
        <v>0</v>
      </c>
      <c r="L72" s="52">
        <v>0</v>
      </c>
      <c r="M72" s="52">
        <f t="shared" si="5"/>
        <v>1</v>
      </c>
      <c r="N72" s="60">
        <f t="shared" si="6"/>
        <v>0.14285714285714285</v>
      </c>
      <c r="O72" s="58">
        <v>1</v>
      </c>
    </row>
    <row r="73" spans="2:15" ht="25.8" x14ac:dyDescent="0.5">
      <c r="E73" s="54" t="s">
        <v>291</v>
      </c>
      <c r="F73" s="52">
        <v>3</v>
      </c>
      <c r="G73" s="52">
        <v>0</v>
      </c>
      <c r="H73" s="52">
        <v>1</v>
      </c>
      <c r="I73" s="52">
        <v>6</v>
      </c>
      <c r="J73" s="52">
        <v>1</v>
      </c>
      <c r="K73" s="52">
        <v>2</v>
      </c>
      <c r="L73" s="52">
        <v>0</v>
      </c>
      <c r="M73" s="52">
        <f t="shared" si="5"/>
        <v>13</v>
      </c>
      <c r="N73" s="60">
        <f t="shared" si="6"/>
        <v>1.8571428571428572</v>
      </c>
      <c r="O73" s="58">
        <v>2</v>
      </c>
    </row>
    <row r="74" spans="2:15" ht="25.8" x14ac:dyDescent="0.5">
      <c r="E74" s="55" t="s">
        <v>292</v>
      </c>
      <c r="F74" s="52">
        <v>0</v>
      </c>
      <c r="G74" s="52">
        <v>0</v>
      </c>
      <c r="H74" s="52">
        <v>2</v>
      </c>
      <c r="I74" s="52">
        <v>0</v>
      </c>
      <c r="J74" s="52">
        <v>0</v>
      </c>
      <c r="K74" s="52">
        <v>0</v>
      </c>
      <c r="L74" s="52">
        <v>0</v>
      </c>
      <c r="M74" s="52">
        <f t="shared" si="5"/>
        <v>2</v>
      </c>
      <c r="N74" s="60">
        <f t="shared" si="6"/>
        <v>0.2857142857142857</v>
      </c>
      <c r="O74" s="58">
        <v>1</v>
      </c>
    </row>
    <row r="75" spans="2:15" ht="25.8" x14ac:dyDescent="0.5">
      <c r="E75" s="54" t="s">
        <v>293</v>
      </c>
      <c r="F75" s="52">
        <v>4</v>
      </c>
      <c r="G75" s="52">
        <v>0</v>
      </c>
      <c r="H75" s="52">
        <v>2</v>
      </c>
      <c r="I75" s="52">
        <v>1</v>
      </c>
      <c r="J75" s="52">
        <v>1</v>
      </c>
      <c r="K75" s="52">
        <v>2</v>
      </c>
      <c r="L75" s="52">
        <v>1</v>
      </c>
      <c r="M75" s="52">
        <f t="shared" si="5"/>
        <v>11</v>
      </c>
      <c r="N75" s="60">
        <f t="shared" si="6"/>
        <v>1.5714285714285714</v>
      </c>
      <c r="O75" s="58">
        <v>2</v>
      </c>
    </row>
    <row r="76" spans="2:15" ht="25.8" x14ac:dyDescent="0.5">
      <c r="E76" s="54" t="s">
        <v>294</v>
      </c>
      <c r="F76" s="52">
        <v>0</v>
      </c>
      <c r="G76" s="52">
        <v>0</v>
      </c>
      <c r="H76" s="52">
        <v>0</v>
      </c>
      <c r="I76" s="52">
        <v>0</v>
      </c>
      <c r="J76" s="52">
        <v>1</v>
      </c>
      <c r="K76" s="52">
        <v>0</v>
      </c>
      <c r="L76" s="52">
        <v>0</v>
      </c>
      <c r="M76" s="52">
        <f t="shared" si="5"/>
        <v>1</v>
      </c>
      <c r="N76" s="60">
        <f t="shared" si="6"/>
        <v>0.14285714285714285</v>
      </c>
      <c r="O76" s="58">
        <v>1</v>
      </c>
    </row>
    <row r="77" spans="2:15" ht="25.8" x14ac:dyDescent="0.5">
      <c r="E77" s="54" t="s">
        <v>295</v>
      </c>
      <c r="F77" s="52">
        <v>0</v>
      </c>
      <c r="G77" s="52">
        <v>0</v>
      </c>
      <c r="H77" s="52">
        <v>0</v>
      </c>
      <c r="I77" s="52">
        <v>1</v>
      </c>
      <c r="J77" s="52">
        <v>0</v>
      </c>
      <c r="K77" s="52">
        <v>1</v>
      </c>
      <c r="L77" s="52">
        <v>0</v>
      </c>
      <c r="M77" s="52">
        <f t="shared" si="5"/>
        <v>2</v>
      </c>
      <c r="N77" s="60">
        <f t="shared" si="6"/>
        <v>0.2857142857142857</v>
      </c>
      <c r="O77" s="58">
        <v>1</v>
      </c>
    </row>
    <row r="78" spans="2:15" ht="26.4" thickBot="1" x14ac:dyDescent="0.55000000000000004">
      <c r="E78" s="56" t="s">
        <v>296</v>
      </c>
      <c r="F78" s="57">
        <v>0</v>
      </c>
      <c r="G78" s="57">
        <v>0</v>
      </c>
      <c r="H78" s="57">
        <v>0</v>
      </c>
      <c r="I78" s="57">
        <v>0</v>
      </c>
      <c r="J78" s="57">
        <v>0</v>
      </c>
      <c r="K78" s="57">
        <v>2</v>
      </c>
      <c r="L78" s="57">
        <v>0</v>
      </c>
      <c r="M78" s="57">
        <f t="shared" si="5"/>
        <v>2</v>
      </c>
      <c r="N78" s="61">
        <f t="shared" si="6"/>
        <v>0.2857142857142857</v>
      </c>
      <c r="O78" s="59">
        <v>1</v>
      </c>
    </row>
    <row r="79" spans="2:15" x14ac:dyDescent="0.3">
      <c r="B79" s="67"/>
      <c r="E79" s="50"/>
    </row>
    <row r="80" spans="2:15" x14ac:dyDescent="0.3">
      <c r="B80" s="67"/>
      <c r="E80" s="50"/>
    </row>
    <row r="81" spans="2:15" x14ac:dyDescent="0.3">
      <c r="B81" s="67"/>
      <c r="E81" s="50"/>
    </row>
    <row r="82" spans="2:15" ht="15" thickBot="1" x14ac:dyDescent="0.35">
      <c r="B82" s="67"/>
    </row>
    <row r="83" spans="2:15" ht="33" thickBot="1" x14ac:dyDescent="0.35">
      <c r="B83" s="67"/>
      <c r="G83" s="271" t="s">
        <v>320</v>
      </c>
      <c r="H83" s="272"/>
      <c r="I83" s="272"/>
      <c r="J83" s="272"/>
      <c r="K83" s="273"/>
    </row>
    <row r="84" spans="2:15" ht="23.4" x14ac:dyDescent="0.45">
      <c r="B84" s="67"/>
      <c r="C84" s="67" t="s">
        <v>309</v>
      </c>
      <c r="E84" s="29"/>
      <c r="F84" s="62"/>
      <c r="G84" s="63"/>
      <c r="H84" s="63"/>
      <c r="I84" s="63"/>
      <c r="J84" s="63"/>
      <c r="K84" s="63"/>
      <c r="L84" s="63"/>
      <c r="M84" s="63"/>
      <c r="N84" s="63"/>
      <c r="O84" s="64"/>
    </row>
    <row r="85" spans="2:15" ht="22.8" x14ac:dyDescent="0.3">
      <c r="B85" s="67"/>
      <c r="E85" s="30" t="s">
        <v>321</v>
      </c>
      <c r="F85" s="65" t="s">
        <v>3</v>
      </c>
      <c r="G85" s="38" t="s">
        <v>4</v>
      </c>
      <c r="H85" s="65" t="s">
        <v>5</v>
      </c>
      <c r="I85" s="38" t="s">
        <v>6</v>
      </c>
      <c r="J85" s="65" t="s">
        <v>7</v>
      </c>
      <c r="K85" s="38" t="s">
        <v>8</v>
      </c>
      <c r="L85" s="65" t="s">
        <v>9</v>
      </c>
      <c r="M85" s="38" t="s">
        <v>269</v>
      </c>
      <c r="N85" s="38" t="s">
        <v>260</v>
      </c>
      <c r="O85" s="66" t="s">
        <v>299</v>
      </c>
    </row>
    <row r="86" spans="2:15" ht="23.4" x14ac:dyDescent="0.45">
      <c r="B86" s="67"/>
      <c r="E86" s="73" t="s">
        <v>304</v>
      </c>
      <c r="F86" s="38">
        <v>3</v>
      </c>
      <c r="G86" s="39">
        <v>0</v>
      </c>
      <c r="H86" s="39">
        <v>5</v>
      </c>
      <c r="I86" s="41">
        <v>2</v>
      </c>
      <c r="J86" s="39">
        <v>1</v>
      </c>
      <c r="K86" s="39">
        <v>9</v>
      </c>
      <c r="L86" s="39">
        <v>0</v>
      </c>
      <c r="M86" s="39">
        <f>SUM(F86:L86)</f>
        <v>20</v>
      </c>
      <c r="N86" s="68">
        <f>AVERAGE(F86:L86)</f>
        <v>2.8571428571428572</v>
      </c>
      <c r="O86" s="69">
        <v>3</v>
      </c>
    </row>
    <row r="87" spans="2:15" ht="23.4" x14ac:dyDescent="0.45">
      <c r="B87" s="67"/>
      <c r="E87" s="73" t="s">
        <v>305</v>
      </c>
      <c r="F87" s="38">
        <v>1</v>
      </c>
      <c r="G87" s="39">
        <v>0</v>
      </c>
      <c r="H87" s="39">
        <v>1</v>
      </c>
      <c r="I87" s="41">
        <v>0</v>
      </c>
      <c r="J87" s="39">
        <v>0</v>
      </c>
      <c r="K87" s="39">
        <v>2</v>
      </c>
      <c r="L87" s="39">
        <v>0</v>
      </c>
      <c r="M87" s="39">
        <f t="shared" ref="M87:M101" si="7">SUM(F87:L87)</f>
        <v>4</v>
      </c>
      <c r="N87" s="68">
        <f t="shared" ref="N87:N101" si="8">AVERAGE(F87:L87)</f>
        <v>0.5714285714285714</v>
      </c>
      <c r="O87" s="69">
        <v>1</v>
      </c>
    </row>
    <row r="88" spans="2:15" ht="23.4" x14ac:dyDescent="0.45">
      <c r="B88" s="67"/>
      <c r="E88" s="73" t="s">
        <v>306</v>
      </c>
      <c r="F88" s="38">
        <v>1</v>
      </c>
      <c r="G88" s="39">
        <v>0</v>
      </c>
      <c r="H88" s="39">
        <v>2</v>
      </c>
      <c r="I88" s="41">
        <v>1</v>
      </c>
      <c r="J88" s="39">
        <v>0</v>
      </c>
      <c r="K88" s="39">
        <v>2</v>
      </c>
      <c r="L88" s="39">
        <v>0</v>
      </c>
      <c r="M88" s="39">
        <f t="shared" si="7"/>
        <v>6</v>
      </c>
      <c r="N88" s="68">
        <f t="shared" si="8"/>
        <v>0.8571428571428571</v>
      </c>
      <c r="O88" s="69">
        <v>1</v>
      </c>
    </row>
    <row r="89" spans="2:15" ht="23.4" x14ac:dyDescent="0.45">
      <c r="B89" s="67"/>
      <c r="E89" s="73" t="s">
        <v>307</v>
      </c>
      <c r="F89" s="38">
        <v>0</v>
      </c>
      <c r="G89" s="39">
        <v>0</v>
      </c>
      <c r="H89" s="39">
        <v>2</v>
      </c>
      <c r="I89" s="41">
        <v>1</v>
      </c>
      <c r="J89" s="39">
        <v>0</v>
      </c>
      <c r="K89" s="39">
        <v>0</v>
      </c>
      <c r="L89" s="39">
        <v>0</v>
      </c>
      <c r="M89" s="39">
        <f t="shared" si="7"/>
        <v>3</v>
      </c>
      <c r="N89" s="68">
        <f t="shared" si="8"/>
        <v>0.42857142857142855</v>
      </c>
      <c r="O89" s="69">
        <v>1</v>
      </c>
    </row>
    <row r="90" spans="2:15" ht="23.4" x14ac:dyDescent="0.45">
      <c r="B90" s="67"/>
      <c r="E90" s="73" t="s">
        <v>308</v>
      </c>
      <c r="F90" s="38">
        <v>0</v>
      </c>
      <c r="G90" s="39">
        <v>0</v>
      </c>
      <c r="H90" s="39">
        <v>2</v>
      </c>
      <c r="I90" s="41">
        <v>1</v>
      </c>
      <c r="J90" s="39">
        <v>0</v>
      </c>
      <c r="K90" s="39">
        <v>0</v>
      </c>
      <c r="L90" s="39">
        <v>0</v>
      </c>
      <c r="M90" s="39">
        <f t="shared" si="7"/>
        <v>3</v>
      </c>
      <c r="N90" s="68">
        <f t="shared" si="8"/>
        <v>0.42857142857142855</v>
      </c>
      <c r="O90" s="69">
        <v>1</v>
      </c>
    </row>
    <row r="91" spans="2:15" ht="23.4" x14ac:dyDescent="0.45">
      <c r="B91" s="67"/>
      <c r="E91" s="73" t="s">
        <v>310</v>
      </c>
      <c r="F91" s="38">
        <v>0</v>
      </c>
      <c r="G91" s="39">
        <v>0</v>
      </c>
      <c r="H91" s="39">
        <v>0</v>
      </c>
      <c r="I91" s="41">
        <v>1</v>
      </c>
      <c r="J91" s="39">
        <v>0</v>
      </c>
      <c r="K91" s="39">
        <v>0</v>
      </c>
      <c r="L91" s="39">
        <v>0</v>
      </c>
      <c r="M91" s="39">
        <f t="shared" si="7"/>
        <v>1</v>
      </c>
      <c r="N91" s="68">
        <f t="shared" si="8"/>
        <v>0.14285714285714285</v>
      </c>
      <c r="O91" s="69">
        <v>1</v>
      </c>
    </row>
    <row r="92" spans="2:15" ht="23.4" x14ac:dyDescent="0.45">
      <c r="B92" s="67"/>
      <c r="E92" s="73" t="s">
        <v>311</v>
      </c>
      <c r="F92" s="38">
        <v>0</v>
      </c>
      <c r="G92" s="39">
        <v>0</v>
      </c>
      <c r="H92" s="39">
        <v>1</v>
      </c>
      <c r="I92" s="41">
        <v>0</v>
      </c>
      <c r="J92" s="39">
        <v>0</v>
      </c>
      <c r="K92" s="39">
        <v>2</v>
      </c>
      <c r="L92" s="39">
        <v>0</v>
      </c>
      <c r="M92" s="39">
        <f t="shared" si="7"/>
        <v>3</v>
      </c>
      <c r="N92" s="68">
        <f t="shared" si="8"/>
        <v>0.42857142857142855</v>
      </c>
      <c r="O92" s="69">
        <v>1</v>
      </c>
    </row>
    <row r="93" spans="2:15" ht="23.4" x14ac:dyDescent="0.45">
      <c r="B93" s="67"/>
      <c r="E93" s="74" t="s">
        <v>312</v>
      </c>
      <c r="F93" s="38">
        <v>0</v>
      </c>
      <c r="G93" s="39">
        <v>0</v>
      </c>
      <c r="H93" s="41">
        <v>0</v>
      </c>
      <c r="I93" s="41">
        <v>0</v>
      </c>
      <c r="J93" s="39">
        <v>0</v>
      </c>
      <c r="K93" s="41">
        <v>0</v>
      </c>
      <c r="L93" s="39">
        <v>0</v>
      </c>
      <c r="M93" s="39">
        <f t="shared" si="7"/>
        <v>0</v>
      </c>
      <c r="N93" s="68">
        <f t="shared" si="8"/>
        <v>0</v>
      </c>
      <c r="O93" s="69">
        <v>0</v>
      </c>
    </row>
    <row r="94" spans="2:15" ht="23.4" x14ac:dyDescent="0.45">
      <c r="B94" s="67"/>
      <c r="E94" s="73" t="s">
        <v>313</v>
      </c>
      <c r="F94" s="38">
        <v>0</v>
      </c>
      <c r="G94" s="39">
        <v>0</v>
      </c>
      <c r="H94" s="39">
        <v>1</v>
      </c>
      <c r="I94" s="41">
        <v>0</v>
      </c>
      <c r="J94" s="39">
        <v>0</v>
      </c>
      <c r="K94" s="39">
        <v>0</v>
      </c>
      <c r="L94" s="39">
        <v>0</v>
      </c>
      <c r="M94" s="39">
        <f t="shared" si="7"/>
        <v>1</v>
      </c>
      <c r="N94" s="68">
        <f t="shared" si="8"/>
        <v>0.14285714285714285</v>
      </c>
      <c r="O94" s="69">
        <v>1</v>
      </c>
    </row>
    <row r="95" spans="2:15" ht="23.4" x14ac:dyDescent="0.45">
      <c r="E95" s="73" t="s">
        <v>314</v>
      </c>
      <c r="F95" s="38">
        <v>0</v>
      </c>
      <c r="G95" s="39">
        <v>0</v>
      </c>
      <c r="H95" s="39">
        <v>0</v>
      </c>
      <c r="I95" s="41">
        <v>0</v>
      </c>
      <c r="J95" s="39">
        <v>1</v>
      </c>
      <c r="K95" s="39">
        <v>2</v>
      </c>
      <c r="L95" s="39">
        <v>0</v>
      </c>
      <c r="M95" s="39">
        <f t="shared" si="7"/>
        <v>3</v>
      </c>
      <c r="N95" s="68">
        <f t="shared" si="8"/>
        <v>0.42857142857142855</v>
      </c>
      <c r="O95" s="69">
        <v>1</v>
      </c>
    </row>
    <row r="96" spans="2:15" ht="23.4" x14ac:dyDescent="0.45">
      <c r="E96" s="73" t="s">
        <v>315</v>
      </c>
      <c r="F96" s="39">
        <v>1</v>
      </c>
      <c r="G96" s="39">
        <v>0</v>
      </c>
      <c r="H96" s="39">
        <v>0</v>
      </c>
      <c r="I96" s="41">
        <v>0</v>
      </c>
      <c r="J96" s="39">
        <v>0</v>
      </c>
      <c r="K96" s="39">
        <v>5</v>
      </c>
      <c r="L96" s="39">
        <v>0</v>
      </c>
      <c r="M96" s="39">
        <f t="shared" si="7"/>
        <v>6</v>
      </c>
      <c r="N96" s="68">
        <f t="shared" si="8"/>
        <v>0.8571428571428571</v>
      </c>
      <c r="O96" s="69">
        <v>1</v>
      </c>
    </row>
    <row r="97" spans="5:15" ht="23.4" x14ac:dyDescent="0.45">
      <c r="E97" s="73" t="s">
        <v>316</v>
      </c>
      <c r="F97" s="39">
        <v>3</v>
      </c>
      <c r="G97" s="39">
        <v>0</v>
      </c>
      <c r="H97" s="39">
        <v>2</v>
      </c>
      <c r="I97" s="41">
        <v>0</v>
      </c>
      <c r="J97" s="39">
        <v>0</v>
      </c>
      <c r="K97" s="39">
        <v>5</v>
      </c>
      <c r="L97" s="39">
        <v>0</v>
      </c>
      <c r="M97" s="39">
        <f t="shared" si="7"/>
        <v>10</v>
      </c>
      <c r="N97" s="68">
        <f t="shared" si="8"/>
        <v>1.4285714285714286</v>
      </c>
      <c r="O97" s="69">
        <v>1</v>
      </c>
    </row>
    <row r="98" spans="5:15" ht="23.4" x14ac:dyDescent="0.45">
      <c r="E98" s="73" t="s">
        <v>317</v>
      </c>
      <c r="F98" s="39">
        <v>1</v>
      </c>
      <c r="G98" s="39">
        <v>0</v>
      </c>
      <c r="H98" s="39">
        <v>0</v>
      </c>
      <c r="I98" s="41">
        <v>0</v>
      </c>
      <c r="J98" s="39">
        <v>0</v>
      </c>
      <c r="K98" s="39">
        <v>4</v>
      </c>
      <c r="L98" s="39">
        <v>0</v>
      </c>
      <c r="M98" s="39">
        <f t="shared" si="7"/>
        <v>5</v>
      </c>
      <c r="N98" s="68">
        <f t="shared" si="8"/>
        <v>0.7142857142857143</v>
      </c>
      <c r="O98" s="69">
        <v>1</v>
      </c>
    </row>
    <row r="99" spans="5:15" ht="23.4" x14ac:dyDescent="0.45">
      <c r="E99" s="73" t="s">
        <v>318</v>
      </c>
      <c r="F99" s="39">
        <v>0</v>
      </c>
      <c r="G99" s="39">
        <v>0</v>
      </c>
      <c r="H99" s="39">
        <v>0</v>
      </c>
      <c r="I99" s="39">
        <v>2</v>
      </c>
      <c r="J99" s="39">
        <v>0</v>
      </c>
      <c r="K99" s="39">
        <v>0</v>
      </c>
      <c r="L99" s="39">
        <v>0</v>
      </c>
      <c r="M99" s="39">
        <f t="shared" si="7"/>
        <v>2</v>
      </c>
      <c r="N99" s="68">
        <f t="shared" si="8"/>
        <v>0.2857142857142857</v>
      </c>
      <c r="O99" s="69">
        <v>1</v>
      </c>
    </row>
    <row r="100" spans="5:15" ht="23.4" x14ac:dyDescent="0.45">
      <c r="E100" s="73" t="s">
        <v>319</v>
      </c>
      <c r="F100" s="39">
        <v>0</v>
      </c>
      <c r="G100" s="39">
        <v>0</v>
      </c>
      <c r="H100" s="39">
        <v>2</v>
      </c>
      <c r="I100" s="39">
        <v>1</v>
      </c>
      <c r="J100" s="39">
        <v>0</v>
      </c>
      <c r="K100" s="39">
        <v>0</v>
      </c>
      <c r="L100" s="39">
        <v>0</v>
      </c>
      <c r="M100" s="39">
        <f t="shared" si="7"/>
        <v>3</v>
      </c>
      <c r="N100" s="68">
        <f t="shared" si="8"/>
        <v>0.42857142857142855</v>
      </c>
      <c r="O100" s="69">
        <v>1</v>
      </c>
    </row>
    <row r="101" spans="5:15" ht="24" thickBot="1" x14ac:dyDescent="0.5">
      <c r="E101" s="70" t="s">
        <v>322</v>
      </c>
      <c r="F101" s="42">
        <v>4</v>
      </c>
      <c r="G101" s="42">
        <v>3</v>
      </c>
      <c r="H101" s="42">
        <v>5</v>
      </c>
      <c r="I101" s="42">
        <v>7</v>
      </c>
      <c r="J101" s="42">
        <v>6</v>
      </c>
      <c r="K101" s="42">
        <v>3</v>
      </c>
      <c r="L101" s="42">
        <v>2</v>
      </c>
      <c r="M101" s="39">
        <f t="shared" si="7"/>
        <v>30</v>
      </c>
      <c r="N101" s="71">
        <f t="shared" si="8"/>
        <v>4.2857142857142856</v>
      </c>
      <c r="O101" s="72">
        <v>4</v>
      </c>
    </row>
    <row r="104" spans="5:15" ht="15" thickBot="1" x14ac:dyDescent="0.35"/>
    <row r="105" spans="5:15" ht="33" thickBot="1" x14ac:dyDescent="0.35">
      <c r="F105" s="271" t="s">
        <v>326</v>
      </c>
      <c r="G105" s="272"/>
      <c r="H105" s="272"/>
      <c r="I105" s="272"/>
      <c r="J105" s="273"/>
    </row>
    <row r="106" spans="5:15" ht="19.2" x14ac:dyDescent="0.3">
      <c r="E106" s="29"/>
      <c r="F106" s="29"/>
      <c r="G106" s="25"/>
      <c r="H106" s="25"/>
      <c r="I106" s="25"/>
      <c r="J106" s="25"/>
      <c r="K106" s="25"/>
      <c r="L106" s="25"/>
      <c r="M106" s="25"/>
      <c r="N106" s="26"/>
    </row>
    <row r="107" spans="5:15" ht="19.8" thickBot="1" x14ac:dyDescent="0.35">
      <c r="E107" s="31" t="s">
        <v>245</v>
      </c>
      <c r="F107" s="36" t="s">
        <v>3</v>
      </c>
      <c r="G107" s="43" t="s">
        <v>4</v>
      </c>
      <c r="H107" s="32" t="s">
        <v>5</v>
      </c>
      <c r="I107" s="43" t="s">
        <v>6</v>
      </c>
      <c r="J107" s="32" t="s">
        <v>7</v>
      </c>
      <c r="K107" s="43" t="s">
        <v>8</v>
      </c>
      <c r="L107" s="32" t="s">
        <v>9</v>
      </c>
      <c r="M107" s="246" t="s">
        <v>325</v>
      </c>
      <c r="N107" s="247"/>
    </row>
    <row r="108" spans="5:15" ht="24" thickBot="1" x14ac:dyDescent="0.5">
      <c r="E108" s="27"/>
      <c r="F108" s="75" t="s">
        <v>324</v>
      </c>
      <c r="G108" s="42" t="s">
        <v>323</v>
      </c>
      <c r="H108" s="42" t="s">
        <v>323</v>
      </c>
      <c r="I108" s="40" t="s">
        <v>323</v>
      </c>
      <c r="J108" s="42" t="s">
        <v>323</v>
      </c>
      <c r="K108" s="42" t="s">
        <v>323</v>
      </c>
      <c r="L108" s="42" t="s">
        <v>323</v>
      </c>
      <c r="M108" s="248" t="s">
        <v>327</v>
      </c>
      <c r="N108" s="249"/>
    </row>
  </sheetData>
  <mergeCells count="19">
    <mergeCell ref="C48:D48"/>
    <mergeCell ref="A1:N1"/>
    <mergeCell ref="A2:N2"/>
    <mergeCell ref="A4:B4"/>
    <mergeCell ref="A15:B15"/>
    <mergeCell ref="F16:J16"/>
    <mergeCell ref="F29:J29"/>
    <mergeCell ref="C43:D43"/>
    <mergeCell ref="C44:D44"/>
    <mergeCell ref="C45:D45"/>
    <mergeCell ref="C46:D46"/>
    <mergeCell ref="C47:D47"/>
    <mergeCell ref="M108:N108"/>
    <mergeCell ref="C49:D49"/>
    <mergeCell ref="C50:D50"/>
    <mergeCell ref="G60:K60"/>
    <mergeCell ref="G83:K83"/>
    <mergeCell ref="F105:J105"/>
    <mergeCell ref="M107:N10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96"/>
  <sheetViews>
    <sheetView zoomScale="76" zoomScaleNormal="70" workbookViewId="0">
      <selection activeCell="C141" sqref="C141"/>
    </sheetView>
  </sheetViews>
  <sheetFormatPr defaultColWidth="8.6640625" defaultRowHeight="14.4" x14ac:dyDescent="0.3"/>
  <cols>
    <col min="1" max="1" width="18" customWidth="1"/>
    <col min="2" max="2" width="14" customWidth="1"/>
    <col min="3" max="3" width="40" customWidth="1"/>
    <col min="4" max="4" width="16" customWidth="1"/>
    <col min="5" max="9" width="14" customWidth="1"/>
    <col min="10" max="10" width="28" customWidth="1"/>
  </cols>
  <sheetData>
    <row r="1" spans="1:11" ht="27.75" customHeight="1" x14ac:dyDescent="0.3">
      <c r="A1" s="242" t="s">
        <v>19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</row>
    <row r="2" spans="1:11" ht="27.75" customHeight="1" x14ac:dyDescent="0.3">
      <c r="A2" s="1" t="s">
        <v>1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</row>
    <row r="3" spans="1:11" ht="30.6" customHeight="1" x14ac:dyDescent="0.3">
      <c r="A3" s="8" t="s">
        <v>3</v>
      </c>
      <c r="B3" s="9" t="s">
        <v>29</v>
      </c>
      <c r="C3" s="10" t="s">
        <v>30</v>
      </c>
      <c r="D3" s="9" t="s">
        <v>31</v>
      </c>
      <c r="E3" s="9">
        <v>96</v>
      </c>
      <c r="F3" s="9">
        <v>1</v>
      </c>
      <c r="G3" s="9">
        <v>7</v>
      </c>
      <c r="H3" s="9"/>
      <c r="I3" s="9">
        <v>1</v>
      </c>
      <c r="J3" s="10" t="s">
        <v>32</v>
      </c>
    </row>
    <row r="4" spans="1:11" ht="24" customHeight="1" x14ac:dyDescent="0.3">
      <c r="A4" s="8" t="s">
        <v>3</v>
      </c>
      <c r="B4" s="9" t="s">
        <v>33</v>
      </c>
      <c r="C4" s="10" t="s">
        <v>34</v>
      </c>
      <c r="D4" s="9" t="s">
        <v>31</v>
      </c>
      <c r="E4" s="9">
        <v>142</v>
      </c>
      <c r="F4" s="9">
        <v>17</v>
      </c>
      <c r="G4" s="9">
        <v>2</v>
      </c>
      <c r="H4" s="9"/>
      <c r="I4" s="9">
        <v>1</v>
      </c>
      <c r="J4" s="10" t="s">
        <v>35</v>
      </c>
    </row>
    <row r="5" spans="1:11" ht="28.2" customHeight="1" x14ac:dyDescent="0.3">
      <c r="A5" s="8" t="s">
        <v>3</v>
      </c>
      <c r="B5" s="9" t="s">
        <v>36</v>
      </c>
      <c r="C5" s="10" t="s">
        <v>37</v>
      </c>
      <c r="D5" s="9" t="s">
        <v>31</v>
      </c>
      <c r="E5" s="9">
        <v>274</v>
      </c>
      <c r="F5" s="9">
        <v>19</v>
      </c>
      <c r="G5" s="9">
        <v>30</v>
      </c>
      <c r="H5" s="9"/>
      <c r="I5" s="9">
        <v>1</v>
      </c>
      <c r="J5" s="10" t="s">
        <v>38</v>
      </c>
    </row>
    <row r="6" spans="1:11" ht="28.2" customHeight="1" x14ac:dyDescent="0.3">
      <c r="A6" s="8" t="s">
        <v>3</v>
      </c>
      <c r="B6" s="9" t="s">
        <v>39</v>
      </c>
      <c r="C6" s="10" t="s">
        <v>40</v>
      </c>
      <c r="D6" s="9" t="s">
        <v>41</v>
      </c>
      <c r="E6" s="9">
        <v>209</v>
      </c>
      <c r="F6" s="9">
        <v>6</v>
      </c>
      <c r="G6" s="9">
        <v>23</v>
      </c>
      <c r="H6" s="9">
        <v>1158</v>
      </c>
      <c r="I6" s="9">
        <v>1</v>
      </c>
      <c r="J6" s="10" t="s">
        <v>42</v>
      </c>
    </row>
    <row r="7" spans="1:11" ht="15.6" customHeight="1" x14ac:dyDescent="0.3">
      <c r="A7" s="8" t="s">
        <v>3</v>
      </c>
      <c r="B7" s="9" t="s">
        <v>43</v>
      </c>
      <c r="C7" s="10" t="s">
        <v>44</v>
      </c>
      <c r="D7" s="9" t="s">
        <v>31</v>
      </c>
      <c r="E7" s="9">
        <v>156</v>
      </c>
      <c r="F7" s="9">
        <v>0</v>
      </c>
      <c r="G7" s="9">
        <v>17</v>
      </c>
      <c r="H7" s="9"/>
      <c r="I7" s="9">
        <v>1</v>
      </c>
      <c r="J7" s="10" t="s">
        <v>35</v>
      </c>
    </row>
    <row r="8" spans="1:11" ht="20.399999999999999" customHeight="1" x14ac:dyDescent="0.3">
      <c r="A8" s="8" t="s">
        <v>3</v>
      </c>
      <c r="B8" s="9" t="s">
        <v>45</v>
      </c>
      <c r="C8" s="10" t="s">
        <v>46</v>
      </c>
      <c r="D8" s="9" t="s">
        <v>31</v>
      </c>
      <c r="E8" s="9">
        <v>150</v>
      </c>
      <c r="F8" s="9">
        <v>0</v>
      </c>
      <c r="G8" s="9">
        <v>24</v>
      </c>
      <c r="H8" s="9"/>
      <c r="I8" s="9">
        <v>1</v>
      </c>
      <c r="J8" s="10" t="s">
        <v>35</v>
      </c>
    </row>
    <row r="9" spans="1:11" ht="15.75" customHeight="1" x14ac:dyDescent="0.3">
      <c r="A9" s="8" t="s">
        <v>3</v>
      </c>
      <c r="B9" s="9" t="s">
        <v>47</v>
      </c>
      <c r="C9" s="10" t="s">
        <v>48</v>
      </c>
      <c r="D9" s="9" t="s">
        <v>31</v>
      </c>
      <c r="E9" s="9">
        <v>170</v>
      </c>
      <c r="F9" s="9">
        <v>21</v>
      </c>
      <c r="G9" s="9">
        <v>10</v>
      </c>
      <c r="H9" s="9"/>
      <c r="I9" s="9">
        <v>1</v>
      </c>
      <c r="J9" s="10" t="s">
        <v>35</v>
      </c>
    </row>
    <row r="10" spans="1:11" ht="27.6" customHeight="1" x14ac:dyDescent="0.3">
      <c r="A10" s="8" t="s">
        <v>3</v>
      </c>
      <c r="B10" s="9" t="s">
        <v>49</v>
      </c>
      <c r="C10" s="10" t="s">
        <v>50</v>
      </c>
      <c r="D10" s="9" t="s">
        <v>31</v>
      </c>
      <c r="E10" s="9">
        <v>152</v>
      </c>
      <c r="F10" s="9">
        <v>16</v>
      </c>
      <c r="G10" s="9">
        <v>19</v>
      </c>
      <c r="H10" s="9"/>
      <c r="I10" s="9">
        <v>1</v>
      </c>
      <c r="J10" s="10" t="s">
        <v>35</v>
      </c>
    </row>
    <row r="11" spans="1:11" ht="33" customHeight="1" x14ac:dyDescent="0.3">
      <c r="A11" s="8" t="s">
        <v>3</v>
      </c>
      <c r="B11" s="9" t="s">
        <v>51</v>
      </c>
      <c r="C11" s="10" t="s">
        <v>52</v>
      </c>
      <c r="D11" s="9" t="s">
        <v>41</v>
      </c>
      <c r="E11" s="9">
        <v>168</v>
      </c>
      <c r="F11" s="9">
        <v>86</v>
      </c>
      <c r="G11" s="9">
        <v>27</v>
      </c>
      <c r="H11" s="9">
        <v>3652</v>
      </c>
      <c r="I11" s="9">
        <v>1</v>
      </c>
      <c r="J11" s="10" t="s">
        <v>53</v>
      </c>
    </row>
    <row r="12" spans="1:11" ht="15.75" customHeight="1" x14ac:dyDescent="0.3">
      <c r="A12" s="8" t="s">
        <v>3</v>
      </c>
      <c r="B12" s="9" t="s">
        <v>54</v>
      </c>
      <c r="C12" s="10" t="s">
        <v>55</v>
      </c>
      <c r="D12" s="9" t="s">
        <v>41</v>
      </c>
      <c r="E12" s="9">
        <v>113</v>
      </c>
      <c r="F12" s="9">
        <v>0</v>
      </c>
      <c r="G12" s="9">
        <v>51</v>
      </c>
      <c r="H12" s="9">
        <v>1054</v>
      </c>
      <c r="I12" s="9">
        <v>1</v>
      </c>
      <c r="J12" s="10" t="s">
        <v>35</v>
      </c>
    </row>
    <row r="13" spans="1:11" ht="30" customHeight="1" x14ac:dyDescent="0.3">
      <c r="A13" s="8" t="s">
        <v>3</v>
      </c>
      <c r="B13" s="9" t="s">
        <v>56</v>
      </c>
      <c r="C13" s="10" t="s">
        <v>57</v>
      </c>
      <c r="D13" s="9" t="s">
        <v>31</v>
      </c>
      <c r="E13" s="9">
        <v>254</v>
      </c>
      <c r="F13" s="9">
        <v>68</v>
      </c>
      <c r="G13" s="9">
        <v>15</v>
      </c>
      <c r="H13" s="9"/>
      <c r="I13" s="9">
        <v>1</v>
      </c>
      <c r="J13" s="10" t="s">
        <v>35</v>
      </c>
    </row>
    <row r="14" spans="1:11" ht="22.8" customHeight="1" x14ac:dyDescent="0.3">
      <c r="A14" s="8" t="s">
        <v>3</v>
      </c>
      <c r="B14" s="9" t="s">
        <v>58</v>
      </c>
      <c r="C14" s="10" t="s">
        <v>59</v>
      </c>
      <c r="D14" s="9" t="s">
        <v>41</v>
      </c>
      <c r="E14" s="9">
        <v>154</v>
      </c>
      <c r="F14" s="9">
        <v>0</v>
      </c>
      <c r="G14" s="9">
        <v>16</v>
      </c>
      <c r="H14" s="9">
        <v>2457</v>
      </c>
      <c r="I14" s="9">
        <v>2</v>
      </c>
      <c r="J14" s="10" t="s">
        <v>35</v>
      </c>
    </row>
    <row r="15" spans="1:11" ht="22.8" customHeight="1" x14ac:dyDescent="0.3">
      <c r="A15" s="8" t="s">
        <v>3</v>
      </c>
      <c r="B15" s="9" t="s">
        <v>58</v>
      </c>
      <c r="C15" s="10" t="s">
        <v>60</v>
      </c>
      <c r="D15" s="9" t="s">
        <v>31</v>
      </c>
      <c r="E15" s="9">
        <v>164</v>
      </c>
      <c r="F15" s="9">
        <v>1</v>
      </c>
      <c r="G15" s="9">
        <v>7</v>
      </c>
      <c r="H15" s="9"/>
      <c r="I15" s="9">
        <v>2</v>
      </c>
      <c r="J15" s="10" t="s">
        <v>35</v>
      </c>
    </row>
    <row r="16" spans="1:11" ht="22.8" customHeight="1" x14ac:dyDescent="0.3">
      <c r="A16" s="8" t="s">
        <v>3</v>
      </c>
      <c r="B16" s="9" t="s">
        <v>61</v>
      </c>
      <c r="C16" s="10" t="s">
        <v>62</v>
      </c>
      <c r="D16" s="9" t="s">
        <v>41</v>
      </c>
      <c r="E16" s="9">
        <v>198</v>
      </c>
      <c r="F16" s="9">
        <v>2</v>
      </c>
      <c r="G16" s="9">
        <v>37</v>
      </c>
      <c r="H16" s="9">
        <v>1145</v>
      </c>
      <c r="I16" s="9">
        <v>1</v>
      </c>
      <c r="J16" s="10" t="s">
        <v>35</v>
      </c>
    </row>
    <row r="17" spans="1:10" ht="15.75" customHeight="1" x14ac:dyDescent="0.3">
      <c r="A17" s="8" t="s">
        <v>3</v>
      </c>
      <c r="B17" s="9" t="s">
        <v>63</v>
      </c>
      <c r="C17" s="10" t="s">
        <v>64</v>
      </c>
      <c r="D17" s="9" t="s">
        <v>41</v>
      </c>
      <c r="E17" s="9">
        <v>494</v>
      </c>
      <c r="F17" s="9">
        <v>226</v>
      </c>
      <c r="G17" s="9">
        <v>60</v>
      </c>
      <c r="H17" s="9">
        <v>1023</v>
      </c>
      <c r="I17" s="9">
        <v>2</v>
      </c>
      <c r="J17" s="10" t="s">
        <v>35</v>
      </c>
    </row>
    <row r="18" spans="1:10" ht="15.75" customHeight="1" x14ac:dyDescent="0.3">
      <c r="A18" s="8" t="s">
        <v>3</v>
      </c>
      <c r="B18" s="9" t="s">
        <v>63</v>
      </c>
      <c r="C18" s="10" t="s">
        <v>65</v>
      </c>
      <c r="D18" s="9" t="s">
        <v>41</v>
      </c>
      <c r="E18" s="9">
        <v>888</v>
      </c>
      <c r="F18" s="9">
        <v>361</v>
      </c>
      <c r="G18" s="9">
        <v>125</v>
      </c>
      <c r="H18" s="9">
        <v>3669</v>
      </c>
      <c r="I18" s="9">
        <v>2</v>
      </c>
      <c r="J18" s="10" t="s">
        <v>35</v>
      </c>
    </row>
    <row r="19" spans="1:10" ht="15.75" customHeight="1" x14ac:dyDescent="0.3">
      <c r="A19" s="8" t="s">
        <v>3</v>
      </c>
      <c r="B19" s="9" t="s">
        <v>66</v>
      </c>
      <c r="C19" s="10" t="s">
        <v>50</v>
      </c>
      <c r="D19" s="9" t="s">
        <v>31</v>
      </c>
      <c r="E19" s="9">
        <v>164</v>
      </c>
      <c r="F19" s="9">
        <v>7</v>
      </c>
      <c r="G19" s="9">
        <v>20</v>
      </c>
      <c r="H19" s="9"/>
      <c r="I19" s="9">
        <v>1</v>
      </c>
      <c r="J19" s="10" t="s">
        <v>35</v>
      </c>
    </row>
    <row r="20" spans="1:10" ht="15.75" customHeight="1" x14ac:dyDescent="0.3">
      <c r="A20" s="8" t="s">
        <v>3</v>
      </c>
      <c r="B20" s="9" t="s">
        <v>67</v>
      </c>
      <c r="C20" s="10" t="s">
        <v>68</v>
      </c>
      <c r="D20" s="9" t="s">
        <v>31</v>
      </c>
      <c r="E20" s="9">
        <v>414</v>
      </c>
      <c r="F20" s="9">
        <v>2</v>
      </c>
      <c r="G20" s="9">
        <v>17</v>
      </c>
      <c r="H20" s="9"/>
      <c r="I20" s="9">
        <v>1</v>
      </c>
      <c r="J20" s="10" t="s">
        <v>35</v>
      </c>
    </row>
    <row r="21" spans="1:10" ht="15.75" customHeight="1" x14ac:dyDescent="0.3">
      <c r="A21" s="8" t="s">
        <v>3</v>
      </c>
      <c r="B21" s="9" t="s">
        <v>69</v>
      </c>
      <c r="C21" s="10" t="s">
        <v>70</v>
      </c>
      <c r="D21" s="9" t="s">
        <v>41</v>
      </c>
      <c r="E21" s="9">
        <v>315</v>
      </c>
      <c r="F21" s="9">
        <v>2</v>
      </c>
      <c r="G21" s="9">
        <v>43</v>
      </c>
      <c r="H21" s="9"/>
      <c r="I21" s="9">
        <v>1</v>
      </c>
      <c r="J21" s="10" t="s">
        <v>35</v>
      </c>
    </row>
    <row r="22" spans="1:10" ht="15.75" customHeight="1" x14ac:dyDescent="0.3">
      <c r="A22" s="8" t="s">
        <v>3</v>
      </c>
      <c r="B22" s="9" t="s">
        <v>71</v>
      </c>
      <c r="C22" s="10" t="s">
        <v>50</v>
      </c>
      <c r="D22" s="9" t="s">
        <v>41</v>
      </c>
      <c r="E22" s="9">
        <v>247</v>
      </c>
      <c r="F22" s="9">
        <v>5</v>
      </c>
      <c r="G22" s="9">
        <v>34</v>
      </c>
      <c r="H22" s="9"/>
      <c r="I22" s="9">
        <v>1</v>
      </c>
      <c r="J22" s="10" t="s">
        <v>35</v>
      </c>
    </row>
    <row r="23" spans="1:10" ht="15.75" customHeight="1" x14ac:dyDescent="0.3">
      <c r="A23" s="8" t="s">
        <v>3</v>
      </c>
      <c r="B23" s="9" t="s">
        <v>72</v>
      </c>
      <c r="C23" s="10" t="s">
        <v>73</v>
      </c>
      <c r="D23" s="9" t="s">
        <v>41</v>
      </c>
      <c r="E23" s="9">
        <v>183</v>
      </c>
      <c r="F23" s="9">
        <v>1</v>
      </c>
      <c r="G23" s="9">
        <v>103</v>
      </c>
      <c r="H23" s="9"/>
      <c r="I23" s="9">
        <v>1</v>
      </c>
      <c r="J23" s="10" t="s">
        <v>32</v>
      </c>
    </row>
    <row r="24" spans="1:10" ht="15.75" customHeight="1" x14ac:dyDescent="0.3">
      <c r="A24" s="8" t="s">
        <v>3</v>
      </c>
      <c r="B24" s="9" t="s">
        <v>74</v>
      </c>
      <c r="C24" s="10" t="s">
        <v>75</v>
      </c>
      <c r="D24" s="9" t="s">
        <v>31</v>
      </c>
      <c r="E24" s="9">
        <v>241</v>
      </c>
      <c r="F24" s="9">
        <v>3</v>
      </c>
      <c r="G24" s="9">
        <v>9</v>
      </c>
      <c r="H24" s="9"/>
      <c r="I24" s="9">
        <v>1</v>
      </c>
      <c r="J24" s="10" t="s">
        <v>35</v>
      </c>
    </row>
    <row r="25" spans="1:10" ht="15.75" customHeight="1" x14ac:dyDescent="0.3">
      <c r="A25" s="4" t="s">
        <v>4</v>
      </c>
      <c r="B25" s="11" t="s">
        <v>33</v>
      </c>
      <c r="C25" s="12" t="s">
        <v>76</v>
      </c>
      <c r="D25" s="11" t="s">
        <v>77</v>
      </c>
      <c r="E25" s="11">
        <v>113</v>
      </c>
      <c r="F25" s="11">
        <v>1</v>
      </c>
      <c r="G25" s="11">
        <v>14</v>
      </c>
      <c r="H25" s="11">
        <v>73149</v>
      </c>
      <c r="I25" s="11">
        <v>1</v>
      </c>
      <c r="J25" s="12"/>
    </row>
    <row r="26" spans="1:10" ht="15.75" customHeight="1" x14ac:dyDescent="0.3">
      <c r="A26" s="4" t="s">
        <v>4</v>
      </c>
      <c r="B26" s="11" t="s">
        <v>78</v>
      </c>
      <c r="C26" s="12" t="s">
        <v>79</v>
      </c>
      <c r="D26" s="11" t="s">
        <v>80</v>
      </c>
      <c r="E26" s="11">
        <v>37</v>
      </c>
      <c r="F26" s="11">
        <v>7</v>
      </c>
      <c r="G26" s="11">
        <v>3</v>
      </c>
      <c r="H26" s="11"/>
      <c r="I26" s="11">
        <v>1</v>
      </c>
      <c r="J26" s="12" t="s">
        <v>81</v>
      </c>
    </row>
    <row r="27" spans="1:10" ht="15.75" customHeight="1" x14ac:dyDescent="0.3">
      <c r="A27" s="4" t="s">
        <v>4</v>
      </c>
      <c r="B27" s="11" t="s">
        <v>82</v>
      </c>
      <c r="C27" s="12" t="s">
        <v>83</v>
      </c>
      <c r="D27" s="11" t="s">
        <v>84</v>
      </c>
      <c r="E27" s="11">
        <v>207</v>
      </c>
      <c r="F27" s="11">
        <v>7</v>
      </c>
      <c r="G27" s="11">
        <v>7</v>
      </c>
      <c r="H27" s="11"/>
      <c r="I27" s="11">
        <v>1</v>
      </c>
      <c r="J27" s="12"/>
    </row>
    <row r="28" spans="1:10" ht="15.75" customHeight="1" x14ac:dyDescent="0.3">
      <c r="A28" s="4" t="s">
        <v>4</v>
      </c>
      <c r="B28" s="11" t="s">
        <v>85</v>
      </c>
      <c r="C28" s="12" t="s">
        <v>86</v>
      </c>
      <c r="D28" s="11" t="s">
        <v>77</v>
      </c>
      <c r="E28" s="11">
        <v>1059</v>
      </c>
      <c r="F28" s="11">
        <v>2</v>
      </c>
      <c r="G28" s="11">
        <v>106</v>
      </c>
      <c r="H28" s="11">
        <v>1104879</v>
      </c>
      <c r="I28" s="11">
        <v>2</v>
      </c>
      <c r="J28" s="12" t="s">
        <v>87</v>
      </c>
    </row>
    <row r="29" spans="1:10" ht="15.75" customHeight="1" x14ac:dyDescent="0.3">
      <c r="A29" s="4" t="s">
        <v>4</v>
      </c>
      <c r="B29" s="11" t="s">
        <v>85</v>
      </c>
      <c r="C29" s="12" t="s">
        <v>88</v>
      </c>
      <c r="D29" s="11" t="s">
        <v>77</v>
      </c>
      <c r="E29" s="11">
        <v>149</v>
      </c>
      <c r="F29" s="11">
        <v>2</v>
      </c>
      <c r="G29" s="11">
        <v>10</v>
      </c>
      <c r="H29" s="11">
        <v>87342</v>
      </c>
      <c r="I29" s="11">
        <v>2</v>
      </c>
      <c r="J29" s="12" t="s">
        <v>89</v>
      </c>
    </row>
    <row r="30" spans="1:10" ht="15.75" customHeight="1" x14ac:dyDescent="0.3">
      <c r="A30" s="4" t="s">
        <v>4</v>
      </c>
      <c r="B30" s="11" t="s">
        <v>49</v>
      </c>
      <c r="C30" s="12" t="s">
        <v>90</v>
      </c>
      <c r="D30" s="11" t="s">
        <v>84</v>
      </c>
      <c r="E30" s="11">
        <v>105</v>
      </c>
      <c r="F30" s="11">
        <v>0</v>
      </c>
      <c r="G30" s="11">
        <v>20</v>
      </c>
      <c r="H30" s="11"/>
      <c r="I30" s="11">
        <v>2</v>
      </c>
      <c r="J30" s="12" t="s">
        <v>91</v>
      </c>
    </row>
    <row r="31" spans="1:10" ht="15.75" customHeight="1" x14ac:dyDescent="0.3">
      <c r="A31" s="4" t="s">
        <v>4</v>
      </c>
      <c r="B31" s="11" t="s">
        <v>49</v>
      </c>
      <c r="C31" s="12" t="s">
        <v>92</v>
      </c>
      <c r="D31" s="11" t="s">
        <v>80</v>
      </c>
      <c r="E31" s="11">
        <v>287</v>
      </c>
      <c r="F31" s="11">
        <v>0</v>
      </c>
      <c r="G31" s="11">
        <v>2</v>
      </c>
      <c r="H31" s="11"/>
      <c r="I31" s="11">
        <v>2</v>
      </c>
      <c r="J31" s="12"/>
    </row>
    <row r="32" spans="1:10" ht="15.75" customHeight="1" x14ac:dyDescent="0.3">
      <c r="A32" s="4" t="s">
        <v>4</v>
      </c>
      <c r="B32" s="11" t="s">
        <v>93</v>
      </c>
      <c r="C32" s="12" t="s">
        <v>94</v>
      </c>
      <c r="D32" s="11" t="s">
        <v>84</v>
      </c>
      <c r="E32" s="11">
        <v>35</v>
      </c>
      <c r="F32" s="11">
        <v>0</v>
      </c>
      <c r="G32" s="11">
        <v>3</v>
      </c>
      <c r="H32" s="11"/>
      <c r="I32" s="11">
        <v>1</v>
      </c>
      <c r="J32" s="12"/>
    </row>
    <row r="33" spans="1:10" ht="15.75" customHeight="1" x14ac:dyDescent="0.3">
      <c r="A33" s="4" t="s">
        <v>4</v>
      </c>
      <c r="B33" s="11" t="s">
        <v>95</v>
      </c>
      <c r="C33" s="12" t="s">
        <v>94</v>
      </c>
      <c r="D33" s="11" t="s">
        <v>84</v>
      </c>
      <c r="E33" s="11">
        <v>54</v>
      </c>
      <c r="F33" s="11">
        <v>1</v>
      </c>
      <c r="G33" s="11">
        <v>2</v>
      </c>
      <c r="H33" s="11"/>
      <c r="I33" s="11">
        <v>1</v>
      </c>
      <c r="J33" s="12"/>
    </row>
    <row r="34" spans="1:10" ht="15.75" customHeight="1" x14ac:dyDescent="0.3">
      <c r="A34" s="4" t="s">
        <v>4</v>
      </c>
      <c r="B34" s="11" t="s">
        <v>96</v>
      </c>
      <c r="C34" s="12" t="s">
        <v>97</v>
      </c>
      <c r="D34" s="11" t="s">
        <v>84</v>
      </c>
      <c r="E34" s="11">
        <v>103</v>
      </c>
      <c r="F34" s="11">
        <v>1</v>
      </c>
      <c r="G34" s="11">
        <v>33</v>
      </c>
      <c r="H34" s="11"/>
      <c r="I34" s="11">
        <v>2</v>
      </c>
      <c r="J34" s="12" t="s">
        <v>87</v>
      </c>
    </row>
    <row r="35" spans="1:10" ht="15.75" customHeight="1" x14ac:dyDescent="0.3">
      <c r="A35" s="4" t="s">
        <v>4</v>
      </c>
      <c r="B35" s="11" t="s">
        <v>96</v>
      </c>
      <c r="C35" s="12" t="s">
        <v>92</v>
      </c>
      <c r="D35" s="11" t="s">
        <v>80</v>
      </c>
      <c r="E35" s="11">
        <v>319</v>
      </c>
      <c r="F35" s="11">
        <v>0</v>
      </c>
      <c r="G35" s="11">
        <v>3</v>
      </c>
      <c r="H35" s="11"/>
      <c r="I35" s="11">
        <v>2</v>
      </c>
      <c r="J35" s="12"/>
    </row>
    <row r="36" spans="1:10" ht="15.75" customHeight="1" x14ac:dyDescent="0.3">
      <c r="A36" s="4" t="s">
        <v>4</v>
      </c>
      <c r="B36" s="11" t="s">
        <v>51</v>
      </c>
      <c r="C36" s="12" t="s">
        <v>79</v>
      </c>
      <c r="D36" s="11" t="s">
        <v>84</v>
      </c>
      <c r="E36" s="11">
        <v>100</v>
      </c>
      <c r="F36" s="11">
        <v>3</v>
      </c>
      <c r="G36" s="11">
        <v>2</v>
      </c>
      <c r="H36" s="11"/>
      <c r="I36" s="11">
        <v>1</v>
      </c>
      <c r="J36" s="12" t="s">
        <v>87</v>
      </c>
    </row>
    <row r="37" spans="1:10" ht="15.75" customHeight="1" x14ac:dyDescent="0.3">
      <c r="A37" s="4" t="s">
        <v>4</v>
      </c>
      <c r="B37" s="11" t="s">
        <v>98</v>
      </c>
      <c r="C37" s="12" t="s">
        <v>99</v>
      </c>
      <c r="D37" s="11" t="s">
        <v>84</v>
      </c>
      <c r="E37" s="11">
        <v>61</v>
      </c>
      <c r="F37" s="11">
        <v>0</v>
      </c>
      <c r="G37" s="11">
        <v>10</v>
      </c>
      <c r="H37" s="11"/>
      <c r="I37" s="11">
        <v>1</v>
      </c>
      <c r="J37" s="12" t="s">
        <v>100</v>
      </c>
    </row>
    <row r="38" spans="1:10" ht="15.75" customHeight="1" x14ac:dyDescent="0.3">
      <c r="A38" s="4" t="s">
        <v>4</v>
      </c>
      <c r="B38" s="11" t="s">
        <v>101</v>
      </c>
      <c r="C38" s="12" t="s">
        <v>99</v>
      </c>
      <c r="D38" s="11" t="s">
        <v>77</v>
      </c>
      <c r="E38" s="11">
        <v>67</v>
      </c>
      <c r="F38" s="11">
        <v>0</v>
      </c>
      <c r="G38" s="11">
        <v>4</v>
      </c>
      <c r="H38" s="11">
        <v>75531</v>
      </c>
      <c r="I38" s="11">
        <v>1</v>
      </c>
      <c r="J38" s="12" t="s">
        <v>102</v>
      </c>
    </row>
    <row r="39" spans="1:10" ht="15.75" customHeight="1" x14ac:dyDescent="0.3">
      <c r="A39" s="4" t="s">
        <v>4</v>
      </c>
      <c r="B39" s="11" t="s">
        <v>103</v>
      </c>
      <c r="C39" s="12" t="s">
        <v>94</v>
      </c>
      <c r="D39" s="11" t="s">
        <v>84</v>
      </c>
      <c r="E39" s="11">
        <v>36</v>
      </c>
      <c r="F39" s="11">
        <v>0</v>
      </c>
      <c r="G39" s="11">
        <v>5</v>
      </c>
      <c r="H39" s="11"/>
      <c r="I39" s="11">
        <v>1</v>
      </c>
      <c r="J39" s="12"/>
    </row>
    <row r="40" spans="1:10" ht="15.75" customHeight="1" x14ac:dyDescent="0.3">
      <c r="A40" s="4" t="s">
        <v>4</v>
      </c>
      <c r="B40" s="11" t="s">
        <v>104</v>
      </c>
      <c r="C40" s="12" t="s">
        <v>99</v>
      </c>
      <c r="D40" s="11" t="s">
        <v>77</v>
      </c>
      <c r="E40" s="11">
        <v>82</v>
      </c>
      <c r="F40" s="11">
        <v>0</v>
      </c>
      <c r="G40" s="11">
        <v>52</v>
      </c>
      <c r="H40" s="11">
        <v>5512</v>
      </c>
      <c r="I40" s="11">
        <v>1</v>
      </c>
      <c r="J40" s="12" t="s">
        <v>89</v>
      </c>
    </row>
    <row r="41" spans="1:10" ht="15.75" customHeight="1" x14ac:dyDescent="0.3">
      <c r="A41" s="4" t="s">
        <v>4</v>
      </c>
      <c r="B41" s="11" t="s">
        <v>105</v>
      </c>
      <c r="C41" s="12" t="s">
        <v>99</v>
      </c>
      <c r="D41" s="11" t="s">
        <v>77</v>
      </c>
      <c r="E41" s="11">
        <v>83</v>
      </c>
      <c r="F41" s="11">
        <v>0</v>
      </c>
      <c r="G41" s="11">
        <v>43</v>
      </c>
      <c r="H41" s="11">
        <v>7729</v>
      </c>
      <c r="I41" s="11">
        <v>1</v>
      </c>
      <c r="J41" s="12" t="s">
        <v>89</v>
      </c>
    </row>
    <row r="42" spans="1:10" ht="15.75" customHeight="1" x14ac:dyDescent="0.3">
      <c r="A42" s="4" t="s">
        <v>4</v>
      </c>
      <c r="B42" s="11" t="s">
        <v>61</v>
      </c>
      <c r="C42" s="12" t="s">
        <v>99</v>
      </c>
      <c r="D42" s="11" t="s">
        <v>77</v>
      </c>
      <c r="E42" s="11">
        <v>97</v>
      </c>
      <c r="F42" s="11">
        <v>0</v>
      </c>
      <c r="G42" s="11">
        <v>15</v>
      </c>
      <c r="H42" s="11">
        <v>10886</v>
      </c>
      <c r="I42" s="11">
        <v>1</v>
      </c>
      <c r="J42" s="12" t="s">
        <v>106</v>
      </c>
    </row>
    <row r="43" spans="1:10" ht="15.75" customHeight="1" x14ac:dyDescent="0.3">
      <c r="A43" s="4" t="s">
        <v>4</v>
      </c>
      <c r="B43" s="11" t="s">
        <v>63</v>
      </c>
      <c r="C43" s="12" t="s">
        <v>94</v>
      </c>
      <c r="D43" s="11" t="s">
        <v>84</v>
      </c>
      <c r="E43" s="11">
        <v>156</v>
      </c>
      <c r="F43" s="11">
        <v>3</v>
      </c>
      <c r="G43" s="11">
        <v>80</v>
      </c>
      <c r="H43" s="11"/>
      <c r="I43" s="11">
        <v>2</v>
      </c>
      <c r="J43" s="12"/>
    </row>
    <row r="44" spans="1:10" ht="15.75" customHeight="1" x14ac:dyDescent="0.3">
      <c r="A44" s="4" t="s">
        <v>4</v>
      </c>
      <c r="B44" s="11" t="s">
        <v>63</v>
      </c>
      <c r="C44" s="12" t="s">
        <v>107</v>
      </c>
      <c r="D44" s="11" t="s">
        <v>80</v>
      </c>
      <c r="E44" s="11">
        <v>69</v>
      </c>
      <c r="F44" s="11">
        <v>0</v>
      </c>
      <c r="G44" s="11">
        <v>1</v>
      </c>
      <c r="H44" s="11"/>
      <c r="I44" s="11">
        <v>2</v>
      </c>
      <c r="J44" s="12"/>
    </row>
    <row r="45" spans="1:10" ht="15.75" customHeight="1" x14ac:dyDescent="0.3">
      <c r="A45" s="4" t="s">
        <v>4</v>
      </c>
      <c r="B45" s="11" t="s">
        <v>66</v>
      </c>
      <c r="C45" s="12" t="s">
        <v>94</v>
      </c>
      <c r="D45" s="11" t="s">
        <v>84</v>
      </c>
      <c r="E45" s="11">
        <v>55</v>
      </c>
      <c r="F45" s="11">
        <v>2</v>
      </c>
      <c r="G45" s="11">
        <v>11</v>
      </c>
      <c r="H45" s="11"/>
      <c r="I45" s="11">
        <v>1</v>
      </c>
      <c r="J45" s="12"/>
    </row>
    <row r="46" spans="1:10" ht="15.75" customHeight="1" x14ac:dyDescent="0.3">
      <c r="A46" s="4" t="s">
        <v>4</v>
      </c>
      <c r="B46" s="11" t="s">
        <v>108</v>
      </c>
      <c r="C46" s="12" t="s">
        <v>92</v>
      </c>
      <c r="D46" s="11" t="s">
        <v>80</v>
      </c>
      <c r="E46" s="11">
        <v>360</v>
      </c>
      <c r="F46" s="11">
        <v>10</v>
      </c>
      <c r="G46" s="11">
        <v>9</v>
      </c>
      <c r="H46" s="11"/>
      <c r="I46" s="11">
        <v>1</v>
      </c>
      <c r="J46" s="12"/>
    </row>
    <row r="47" spans="1:10" ht="15.75" customHeight="1" x14ac:dyDescent="0.3">
      <c r="A47" s="4" t="s">
        <v>4</v>
      </c>
      <c r="B47" s="11" t="s">
        <v>67</v>
      </c>
      <c r="C47" s="12" t="s">
        <v>97</v>
      </c>
      <c r="D47" s="11" t="s">
        <v>77</v>
      </c>
      <c r="E47" s="11">
        <v>8404</v>
      </c>
      <c r="F47" s="11">
        <v>39</v>
      </c>
      <c r="G47" s="11">
        <v>1</v>
      </c>
      <c r="H47" s="11">
        <v>9579059</v>
      </c>
      <c r="I47" s="11">
        <v>1</v>
      </c>
      <c r="J47" s="12" t="s">
        <v>109</v>
      </c>
    </row>
    <row r="48" spans="1:10" ht="15.75" customHeight="1" x14ac:dyDescent="0.3">
      <c r="A48" s="4" t="s">
        <v>4</v>
      </c>
      <c r="B48" s="11" t="s">
        <v>69</v>
      </c>
      <c r="C48" s="12" t="s">
        <v>110</v>
      </c>
      <c r="D48" s="11" t="s">
        <v>77</v>
      </c>
      <c r="E48" s="11">
        <v>318</v>
      </c>
      <c r="F48" s="11">
        <v>0</v>
      </c>
      <c r="G48" s="11">
        <v>5</v>
      </c>
      <c r="H48" s="11">
        <v>81204</v>
      </c>
      <c r="I48" s="11">
        <v>1</v>
      </c>
      <c r="J48" s="12"/>
    </row>
    <row r="49" spans="1:10" ht="15.75" customHeight="1" x14ac:dyDescent="0.3">
      <c r="A49" s="4" t="s">
        <v>4</v>
      </c>
      <c r="B49" s="11" t="s">
        <v>71</v>
      </c>
      <c r="C49" s="12" t="s">
        <v>94</v>
      </c>
      <c r="D49" s="11" t="s">
        <v>84</v>
      </c>
      <c r="E49" s="11">
        <v>75</v>
      </c>
      <c r="F49" s="11">
        <v>0</v>
      </c>
      <c r="G49" s="11">
        <v>16</v>
      </c>
      <c r="H49" s="11"/>
      <c r="I49" s="11">
        <v>3</v>
      </c>
      <c r="J49" s="12"/>
    </row>
    <row r="50" spans="1:10" ht="15.75" customHeight="1" x14ac:dyDescent="0.3">
      <c r="A50" s="4" t="s">
        <v>4</v>
      </c>
      <c r="B50" s="11" t="s">
        <v>71</v>
      </c>
      <c r="C50" s="12" t="s">
        <v>92</v>
      </c>
      <c r="D50" s="11" t="s">
        <v>80</v>
      </c>
      <c r="E50" s="11">
        <v>119</v>
      </c>
      <c r="F50" s="11">
        <v>0</v>
      </c>
      <c r="G50" s="11">
        <v>8</v>
      </c>
      <c r="H50" s="11"/>
      <c r="I50" s="11">
        <v>3</v>
      </c>
      <c r="J50" s="12"/>
    </row>
    <row r="51" spans="1:10" ht="15.75" customHeight="1" x14ac:dyDescent="0.3">
      <c r="A51" s="4" t="s">
        <v>4</v>
      </c>
      <c r="B51" s="11" t="s">
        <v>71</v>
      </c>
      <c r="C51" s="12" t="s">
        <v>92</v>
      </c>
      <c r="D51" s="11" t="s">
        <v>80</v>
      </c>
      <c r="E51" s="11">
        <v>111</v>
      </c>
      <c r="F51" s="11">
        <v>0</v>
      </c>
      <c r="G51" s="11">
        <v>8</v>
      </c>
      <c r="H51" s="11"/>
      <c r="I51" s="11">
        <v>3</v>
      </c>
      <c r="J51" s="12"/>
    </row>
    <row r="52" spans="1:10" ht="15.75" customHeight="1" x14ac:dyDescent="0.3">
      <c r="A52" s="4" t="s">
        <v>4</v>
      </c>
      <c r="B52" s="11" t="s">
        <v>111</v>
      </c>
      <c r="C52" s="12" t="s">
        <v>94</v>
      </c>
      <c r="D52" s="11" t="s">
        <v>84</v>
      </c>
      <c r="E52" s="11">
        <v>60</v>
      </c>
      <c r="F52" s="11">
        <v>0</v>
      </c>
      <c r="G52" s="11">
        <v>8</v>
      </c>
      <c r="H52" s="11"/>
      <c r="I52" s="11">
        <v>2</v>
      </c>
      <c r="J52" s="12"/>
    </row>
    <row r="53" spans="1:10" ht="15.75" customHeight="1" x14ac:dyDescent="0.3">
      <c r="A53" s="4" t="s">
        <v>4</v>
      </c>
      <c r="B53" s="11" t="s">
        <v>111</v>
      </c>
      <c r="C53" s="12" t="s">
        <v>92</v>
      </c>
      <c r="D53" s="11" t="s">
        <v>80</v>
      </c>
      <c r="E53" s="11">
        <v>149</v>
      </c>
      <c r="F53" s="11">
        <v>0</v>
      </c>
      <c r="G53" s="11">
        <v>5</v>
      </c>
      <c r="H53" s="11"/>
      <c r="I53" s="11">
        <v>2</v>
      </c>
      <c r="J53" s="12"/>
    </row>
    <row r="54" spans="1:10" ht="15.75" customHeight="1" x14ac:dyDescent="0.3">
      <c r="A54" s="4" t="s">
        <v>4</v>
      </c>
      <c r="B54" s="11" t="s">
        <v>72</v>
      </c>
      <c r="C54" s="12" t="s">
        <v>90</v>
      </c>
      <c r="D54" s="11" t="s">
        <v>77</v>
      </c>
      <c r="E54" s="11">
        <v>86</v>
      </c>
      <c r="F54" s="11">
        <v>3</v>
      </c>
      <c r="G54" s="11">
        <v>7</v>
      </c>
      <c r="H54" s="11">
        <v>58564</v>
      </c>
      <c r="I54" s="11">
        <v>1</v>
      </c>
      <c r="J54" s="12" t="s">
        <v>112</v>
      </c>
    </row>
    <row r="55" spans="1:10" ht="15.75" customHeight="1" x14ac:dyDescent="0.3">
      <c r="A55" s="4" t="s">
        <v>4</v>
      </c>
      <c r="B55" s="11" t="s">
        <v>74</v>
      </c>
      <c r="C55" s="12" t="s">
        <v>92</v>
      </c>
      <c r="D55" s="11" t="s">
        <v>80</v>
      </c>
      <c r="E55" s="11">
        <v>66</v>
      </c>
      <c r="F55" s="11">
        <v>3</v>
      </c>
      <c r="G55" s="11">
        <v>35</v>
      </c>
      <c r="H55" s="11"/>
      <c r="I55" s="11">
        <v>1</v>
      </c>
      <c r="J55" s="12"/>
    </row>
    <row r="56" spans="1:10" ht="15.75" customHeight="1" x14ac:dyDescent="0.3">
      <c r="A56" s="4" t="s">
        <v>4</v>
      </c>
      <c r="B56" s="11" t="s">
        <v>113</v>
      </c>
      <c r="C56" s="12" t="s">
        <v>90</v>
      </c>
      <c r="D56" s="11" t="s">
        <v>77</v>
      </c>
      <c r="E56" s="11">
        <v>99</v>
      </c>
      <c r="F56" s="11">
        <v>0</v>
      </c>
      <c r="G56" s="11">
        <v>6</v>
      </c>
      <c r="H56" s="11">
        <v>56922</v>
      </c>
      <c r="I56" s="11">
        <v>3</v>
      </c>
      <c r="J56" s="12" t="s">
        <v>114</v>
      </c>
    </row>
    <row r="57" spans="1:10" ht="15.75" customHeight="1" x14ac:dyDescent="0.3">
      <c r="A57" s="4" t="s">
        <v>4</v>
      </c>
      <c r="B57" s="11" t="s">
        <v>113</v>
      </c>
      <c r="C57" s="12" t="s">
        <v>92</v>
      </c>
      <c r="D57" s="11" t="s">
        <v>80</v>
      </c>
      <c r="E57" s="11">
        <v>287</v>
      </c>
      <c r="F57" s="11">
        <v>2</v>
      </c>
      <c r="G57" s="11">
        <v>14</v>
      </c>
      <c r="H57" s="11"/>
      <c r="I57" s="11">
        <v>3</v>
      </c>
      <c r="J57" s="12"/>
    </row>
    <row r="58" spans="1:10" ht="15.75" customHeight="1" x14ac:dyDescent="0.3">
      <c r="A58" s="4" t="s">
        <v>4</v>
      </c>
      <c r="B58" s="11" t="s">
        <v>113</v>
      </c>
      <c r="C58" s="12" t="s">
        <v>97</v>
      </c>
      <c r="D58" s="11" t="s">
        <v>77</v>
      </c>
      <c r="E58" s="11">
        <v>229000</v>
      </c>
      <c r="F58" s="11">
        <v>2399</v>
      </c>
      <c r="G58" s="11">
        <v>1807</v>
      </c>
      <c r="H58" s="11">
        <v>4914640</v>
      </c>
      <c r="I58" s="11">
        <v>3</v>
      </c>
      <c r="J58" s="12" t="s">
        <v>115</v>
      </c>
    </row>
    <row r="59" spans="1:10" ht="15.75" customHeight="1" x14ac:dyDescent="0.3">
      <c r="A59" s="5" t="s">
        <v>5</v>
      </c>
      <c r="B59" s="6" t="s">
        <v>29</v>
      </c>
      <c r="C59" s="13" t="s">
        <v>116</v>
      </c>
      <c r="D59" s="6" t="s">
        <v>117</v>
      </c>
      <c r="E59" s="6">
        <v>130</v>
      </c>
      <c r="F59" s="6">
        <v>18</v>
      </c>
      <c r="G59" s="6">
        <v>17</v>
      </c>
      <c r="H59" s="6"/>
      <c r="I59" s="6">
        <v>1</v>
      </c>
      <c r="J59" s="13"/>
    </row>
    <row r="60" spans="1:10" ht="15.75" customHeight="1" x14ac:dyDescent="0.3">
      <c r="A60" s="5" t="s">
        <v>5</v>
      </c>
      <c r="B60" s="6" t="s">
        <v>43</v>
      </c>
      <c r="C60" s="13" t="s">
        <v>118</v>
      </c>
      <c r="D60" s="6" t="s">
        <v>117</v>
      </c>
      <c r="E60" s="6">
        <v>87</v>
      </c>
      <c r="F60" s="6">
        <v>3</v>
      </c>
      <c r="G60" s="6">
        <v>2</v>
      </c>
      <c r="H60" s="6"/>
      <c r="I60" s="6">
        <v>4</v>
      </c>
      <c r="J60" s="13"/>
    </row>
    <row r="61" spans="1:10" ht="15.75" customHeight="1" x14ac:dyDescent="0.3">
      <c r="A61" s="5" t="s">
        <v>5</v>
      </c>
      <c r="B61" s="6" t="s">
        <v>43</v>
      </c>
      <c r="C61" s="13" t="s">
        <v>119</v>
      </c>
      <c r="D61" s="6" t="s">
        <v>120</v>
      </c>
      <c r="E61" s="6">
        <v>230</v>
      </c>
      <c r="F61" s="6">
        <v>4</v>
      </c>
      <c r="G61" s="6">
        <v>50</v>
      </c>
      <c r="H61" s="6">
        <v>10200</v>
      </c>
      <c r="I61" s="6">
        <v>4</v>
      </c>
      <c r="J61" s="13" t="s">
        <v>121</v>
      </c>
    </row>
    <row r="62" spans="1:10" ht="15.75" customHeight="1" x14ac:dyDescent="0.3">
      <c r="A62" s="5" t="s">
        <v>5</v>
      </c>
      <c r="B62" s="6" t="s">
        <v>43</v>
      </c>
      <c r="C62" s="13" t="s">
        <v>119</v>
      </c>
      <c r="D62" s="6" t="s">
        <v>120</v>
      </c>
      <c r="E62" s="6">
        <v>212</v>
      </c>
      <c r="F62" s="6">
        <v>5</v>
      </c>
      <c r="G62" s="6">
        <v>67</v>
      </c>
      <c r="H62" s="6">
        <v>46300</v>
      </c>
      <c r="I62" s="6">
        <v>4</v>
      </c>
      <c r="J62" s="13" t="s">
        <v>121</v>
      </c>
    </row>
    <row r="63" spans="1:10" ht="15.75" customHeight="1" x14ac:dyDescent="0.3">
      <c r="A63" s="5" t="s">
        <v>5</v>
      </c>
      <c r="B63" s="6" t="s">
        <v>43</v>
      </c>
      <c r="C63" s="13" t="s">
        <v>122</v>
      </c>
      <c r="D63" s="6" t="s">
        <v>120</v>
      </c>
      <c r="E63" s="6">
        <v>175</v>
      </c>
      <c r="F63" s="6">
        <v>5</v>
      </c>
      <c r="G63" s="6">
        <v>84</v>
      </c>
      <c r="H63" s="6">
        <v>109000</v>
      </c>
      <c r="I63" s="6">
        <v>4</v>
      </c>
      <c r="J63" s="13" t="s">
        <v>121</v>
      </c>
    </row>
    <row r="64" spans="1:10" ht="15.75" customHeight="1" x14ac:dyDescent="0.3">
      <c r="A64" s="5" t="s">
        <v>5</v>
      </c>
      <c r="B64" s="6" t="s">
        <v>123</v>
      </c>
      <c r="C64" s="13" t="s">
        <v>124</v>
      </c>
      <c r="D64" s="6" t="s">
        <v>120</v>
      </c>
      <c r="E64" s="6">
        <v>89</v>
      </c>
      <c r="F64" s="6">
        <v>0</v>
      </c>
      <c r="G64" s="6">
        <v>26</v>
      </c>
      <c r="H64" s="6">
        <v>6790</v>
      </c>
      <c r="I64" s="6">
        <v>4</v>
      </c>
      <c r="J64" s="13" t="s">
        <v>121</v>
      </c>
    </row>
    <row r="65" spans="1:10" ht="15.75" customHeight="1" x14ac:dyDescent="0.3">
      <c r="A65" s="5" t="s">
        <v>5</v>
      </c>
      <c r="B65" s="6" t="s">
        <v>123</v>
      </c>
      <c r="C65" s="13" t="s">
        <v>125</v>
      </c>
      <c r="D65" s="6" t="s">
        <v>120</v>
      </c>
      <c r="E65" s="6">
        <v>348</v>
      </c>
      <c r="F65" s="6">
        <v>19</v>
      </c>
      <c r="G65" s="6">
        <v>263</v>
      </c>
      <c r="H65" s="6">
        <v>17300</v>
      </c>
      <c r="I65" s="6">
        <v>4</v>
      </c>
      <c r="J65" s="13" t="s">
        <v>121</v>
      </c>
    </row>
    <row r="66" spans="1:10" ht="15.75" customHeight="1" x14ac:dyDescent="0.3">
      <c r="A66" s="5" t="s">
        <v>5</v>
      </c>
      <c r="B66" s="6" t="s">
        <v>123</v>
      </c>
      <c r="C66" s="13" t="s">
        <v>126</v>
      </c>
      <c r="D66" s="6" t="s">
        <v>127</v>
      </c>
      <c r="E66" s="6">
        <v>44</v>
      </c>
      <c r="F66" s="6">
        <v>3</v>
      </c>
      <c r="G66" s="6">
        <v>2</v>
      </c>
      <c r="H66" s="6"/>
      <c r="I66" s="6">
        <v>4</v>
      </c>
      <c r="J66" s="13"/>
    </row>
    <row r="67" spans="1:10" ht="15.75" customHeight="1" x14ac:dyDescent="0.3">
      <c r="A67" s="5" t="s">
        <v>5</v>
      </c>
      <c r="B67" s="6" t="s">
        <v>123</v>
      </c>
      <c r="C67" s="13" t="s">
        <v>122</v>
      </c>
      <c r="D67" s="6" t="s">
        <v>120</v>
      </c>
      <c r="E67" s="6">
        <v>126</v>
      </c>
      <c r="F67" s="6">
        <v>8</v>
      </c>
      <c r="G67" s="6">
        <v>28</v>
      </c>
      <c r="H67" s="6">
        <v>121000</v>
      </c>
      <c r="I67" s="6">
        <v>4</v>
      </c>
      <c r="J67" s="13" t="s">
        <v>121</v>
      </c>
    </row>
    <row r="68" spans="1:10" ht="15.75" customHeight="1" x14ac:dyDescent="0.3">
      <c r="A68" s="5" t="s">
        <v>5</v>
      </c>
      <c r="B68" s="6" t="s">
        <v>45</v>
      </c>
      <c r="C68" s="13" t="s">
        <v>128</v>
      </c>
      <c r="D68" s="6" t="s">
        <v>120</v>
      </c>
      <c r="E68" s="6">
        <v>123</v>
      </c>
      <c r="F68" s="6">
        <v>4</v>
      </c>
      <c r="G68" s="6">
        <v>32</v>
      </c>
      <c r="H68" s="6">
        <v>5789</v>
      </c>
      <c r="I68" s="6">
        <v>2</v>
      </c>
      <c r="J68" s="13" t="s">
        <v>121</v>
      </c>
    </row>
    <row r="69" spans="1:10" ht="15.75" customHeight="1" x14ac:dyDescent="0.3">
      <c r="A69" s="5" t="s">
        <v>5</v>
      </c>
      <c r="B69" s="6" t="s">
        <v>45</v>
      </c>
      <c r="C69" s="13" t="s">
        <v>129</v>
      </c>
      <c r="D69" s="6" t="s">
        <v>117</v>
      </c>
      <c r="E69" s="6">
        <v>171</v>
      </c>
      <c r="F69" s="6">
        <v>3</v>
      </c>
      <c r="G69" s="6">
        <v>27</v>
      </c>
      <c r="H69" s="6"/>
      <c r="I69" s="6">
        <v>2</v>
      </c>
      <c r="J69" s="13" t="s">
        <v>121</v>
      </c>
    </row>
    <row r="70" spans="1:10" ht="15.75" customHeight="1" x14ac:dyDescent="0.3">
      <c r="A70" s="5" t="s">
        <v>5</v>
      </c>
      <c r="B70" s="6" t="s">
        <v>47</v>
      </c>
      <c r="C70" s="13" t="s">
        <v>130</v>
      </c>
      <c r="D70" s="6" t="s">
        <v>120</v>
      </c>
      <c r="E70" s="6">
        <v>121</v>
      </c>
      <c r="F70" s="6">
        <v>6</v>
      </c>
      <c r="G70" s="6">
        <v>59</v>
      </c>
      <c r="H70" s="6">
        <v>7938</v>
      </c>
      <c r="I70" s="6">
        <v>2</v>
      </c>
      <c r="J70" s="13" t="s">
        <v>121</v>
      </c>
    </row>
    <row r="71" spans="1:10" ht="33.6" customHeight="1" x14ac:dyDescent="0.3">
      <c r="A71" s="5" t="s">
        <v>5</v>
      </c>
      <c r="B71" s="6" t="s">
        <v>47</v>
      </c>
      <c r="C71" s="13" t="s">
        <v>131</v>
      </c>
      <c r="D71" s="6" t="s">
        <v>120</v>
      </c>
      <c r="E71" s="6">
        <v>113</v>
      </c>
      <c r="F71" s="6">
        <v>4</v>
      </c>
      <c r="G71" s="6">
        <v>42</v>
      </c>
      <c r="H71" s="6">
        <v>8088</v>
      </c>
      <c r="I71" s="6">
        <v>2</v>
      </c>
      <c r="J71" s="13" t="s">
        <v>121</v>
      </c>
    </row>
    <row r="72" spans="1:10" ht="15.75" customHeight="1" x14ac:dyDescent="0.3">
      <c r="A72" s="5" t="s">
        <v>5</v>
      </c>
      <c r="B72" s="6" t="s">
        <v>49</v>
      </c>
      <c r="C72" s="13" t="s">
        <v>132</v>
      </c>
      <c r="D72" s="6" t="s">
        <v>117</v>
      </c>
      <c r="E72" s="6">
        <v>84</v>
      </c>
      <c r="F72" s="6">
        <v>10</v>
      </c>
      <c r="G72" s="6">
        <v>0</v>
      </c>
      <c r="H72" s="6"/>
      <c r="I72" s="6">
        <v>2</v>
      </c>
      <c r="J72" s="13"/>
    </row>
    <row r="73" spans="1:10" ht="15.75" customHeight="1" x14ac:dyDescent="0.3">
      <c r="A73" s="5" t="s">
        <v>5</v>
      </c>
      <c r="B73" s="6" t="s">
        <v>49</v>
      </c>
      <c r="C73" s="13" t="s">
        <v>133</v>
      </c>
      <c r="D73" s="6" t="s">
        <v>117</v>
      </c>
      <c r="E73" s="6">
        <v>84</v>
      </c>
      <c r="F73" s="6">
        <v>8</v>
      </c>
      <c r="G73" s="6">
        <v>0</v>
      </c>
      <c r="H73" s="6"/>
      <c r="I73" s="6">
        <v>2</v>
      </c>
      <c r="J73" s="13"/>
    </row>
    <row r="74" spans="1:10" ht="15.75" customHeight="1" x14ac:dyDescent="0.3">
      <c r="A74" s="5" t="s">
        <v>5</v>
      </c>
      <c r="B74" s="6" t="s">
        <v>93</v>
      </c>
      <c r="C74" s="13" t="s">
        <v>116</v>
      </c>
      <c r="D74" s="6" t="s">
        <v>117</v>
      </c>
      <c r="E74" s="6">
        <v>119</v>
      </c>
      <c r="F74" s="6">
        <v>9</v>
      </c>
      <c r="G74" s="6">
        <v>14</v>
      </c>
      <c r="H74" s="6"/>
      <c r="I74" s="6">
        <v>1</v>
      </c>
      <c r="J74" s="13"/>
    </row>
    <row r="75" spans="1:10" ht="15.75" customHeight="1" x14ac:dyDescent="0.3">
      <c r="A75" s="5" t="s">
        <v>5</v>
      </c>
      <c r="B75" s="6" t="s">
        <v>95</v>
      </c>
      <c r="C75" s="13" t="s">
        <v>134</v>
      </c>
      <c r="D75" s="6" t="s">
        <v>117</v>
      </c>
      <c r="E75" s="6">
        <v>162</v>
      </c>
      <c r="F75" s="6">
        <v>16</v>
      </c>
      <c r="G75" s="6">
        <v>2</v>
      </c>
      <c r="H75" s="6"/>
      <c r="I75" s="6">
        <v>1</v>
      </c>
      <c r="J75" s="13"/>
    </row>
    <row r="76" spans="1:10" ht="15.75" customHeight="1" x14ac:dyDescent="0.3">
      <c r="A76" s="5" t="s">
        <v>5</v>
      </c>
      <c r="B76" s="6" t="s">
        <v>98</v>
      </c>
      <c r="C76" s="13" t="s">
        <v>135</v>
      </c>
      <c r="D76" s="6" t="s">
        <v>120</v>
      </c>
      <c r="E76" s="6">
        <v>108</v>
      </c>
      <c r="F76" s="6">
        <v>2</v>
      </c>
      <c r="G76" s="6">
        <v>39</v>
      </c>
      <c r="H76" s="6">
        <v>10300</v>
      </c>
      <c r="I76" s="6">
        <v>1</v>
      </c>
      <c r="J76" s="13" t="s">
        <v>136</v>
      </c>
    </row>
    <row r="77" spans="1:10" ht="15.75" customHeight="1" x14ac:dyDescent="0.3">
      <c r="A77" s="5" t="s">
        <v>5</v>
      </c>
      <c r="B77" s="6" t="s">
        <v>104</v>
      </c>
      <c r="C77" s="13" t="s">
        <v>137</v>
      </c>
      <c r="D77" s="6" t="s">
        <v>117</v>
      </c>
      <c r="E77" s="6">
        <v>160</v>
      </c>
      <c r="F77" s="6">
        <v>21</v>
      </c>
      <c r="G77" s="6">
        <v>11</v>
      </c>
      <c r="H77" s="6"/>
      <c r="I77" s="6">
        <v>1</v>
      </c>
      <c r="J77" s="13"/>
    </row>
    <row r="78" spans="1:10" ht="15.75" customHeight="1" x14ac:dyDescent="0.3">
      <c r="A78" s="5" t="s">
        <v>5</v>
      </c>
      <c r="B78" s="6" t="s">
        <v>138</v>
      </c>
      <c r="C78" s="13" t="s">
        <v>139</v>
      </c>
      <c r="D78" s="6" t="s">
        <v>140</v>
      </c>
      <c r="E78" s="6">
        <v>80</v>
      </c>
      <c r="F78" s="6">
        <v>8</v>
      </c>
      <c r="G78" s="6">
        <v>5</v>
      </c>
      <c r="H78" s="6"/>
      <c r="I78" s="6">
        <v>1</v>
      </c>
      <c r="J78" s="13" t="s">
        <v>121</v>
      </c>
    </row>
    <row r="79" spans="1:10" ht="15.75" customHeight="1" x14ac:dyDescent="0.3">
      <c r="A79" s="5" t="s">
        <v>5</v>
      </c>
      <c r="B79" s="6" t="s">
        <v>141</v>
      </c>
      <c r="C79" s="13" t="s">
        <v>142</v>
      </c>
      <c r="D79" s="6" t="s">
        <v>117</v>
      </c>
      <c r="E79" s="6">
        <v>62</v>
      </c>
      <c r="F79" s="6">
        <v>6</v>
      </c>
      <c r="G79" s="6">
        <v>3</v>
      </c>
      <c r="H79" s="6"/>
      <c r="I79" s="6">
        <v>1</v>
      </c>
      <c r="J79" s="13"/>
    </row>
    <row r="80" spans="1:10" ht="15.75" customHeight="1" x14ac:dyDescent="0.3">
      <c r="A80" s="5" t="s">
        <v>5</v>
      </c>
      <c r="B80" s="6" t="s">
        <v>63</v>
      </c>
      <c r="C80" s="13" t="s">
        <v>143</v>
      </c>
      <c r="D80" s="6" t="s">
        <v>117</v>
      </c>
      <c r="E80" s="6">
        <v>276</v>
      </c>
      <c r="F80" s="6">
        <v>3</v>
      </c>
      <c r="G80" s="6">
        <v>6</v>
      </c>
      <c r="H80" s="6"/>
      <c r="I80" s="6">
        <v>1</v>
      </c>
      <c r="J80" s="13"/>
    </row>
    <row r="81" spans="1:10" ht="15.75" customHeight="1" x14ac:dyDescent="0.3">
      <c r="A81" s="5" t="s">
        <v>5</v>
      </c>
      <c r="B81" s="6" t="s">
        <v>66</v>
      </c>
      <c r="C81" s="13" t="s">
        <v>116</v>
      </c>
      <c r="D81" s="6" t="s">
        <v>117</v>
      </c>
      <c r="E81" s="6">
        <v>211</v>
      </c>
      <c r="F81" s="6">
        <v>28</v>
      </c>
      <c r="G81" s="6">
        <v>23</v>
      </c>
      <c r="H81" s="6"/>
      <c r="I81" s="6">
        <v>1</v>
      </c>
      <c r="J81" s="13"/>
    </row>
    <row r="82" spans="1:10" ht="15.75" customHeight="1" x14ac:dyDescent="0.3">
      <c r="A82" s="5" t="s">
        <v>5</v>
      </c>
      <c r="B82" s="6" t="s">
        <v>144</v>
      </c>
      <c r="C82" s="13" t="s">
        <v>145</v>
      </c>
      <c r="D82" s="6" t="s">
        <v>77</v>
      </c>
      <c r="E82" s="6">
        <v>389</v>
      </c>
      <c r="F82" s="6">
        <v>7</v>
      </c>
      <c r="G82" s="6">
        <v>4</v>
      </c>
      <c r="H82" s="6">
        <v>172000</v>
      </c>
      <c r="I82" s="6">
        <v>1</v>
      </c>
      <c r="J82" s="13" t="s">
        <v>121</v>
      </c>
    </row>
    <row r="83" spans="1:10" ht="15.75" customHeight="1" x14ac:dyDescent="0.3">
      <c r="A83" s="5" t="s">
        <v>5</v>
      </c>
      <c r="B83" s="6" t="s">
        <v>146</v>
      </c>
      <c r="C83" s="13" t="s">
        <v>147</v>
      </c>
      <c r="D83" s="6" t="s">
        <v>117</v>
      </c>
      <c r="E83" s="6">
        <v>53</v>
      </c>
      <c r="F83" s="6">
        <v>12</v>
      </c>
      <c r="G83" s="6">
        <v>1</v>
      </c>
      <c r="H83" s="6"/>
      <c r="I83" s="6">
        <v>2</v>
      </c>
      <c r="J83" s="13"/>
    </row>
    <row r="84" spans="1:10" ht="15.75" customHeight="1" x14ac:dyDescent="0.3">
      <c r="A84" s="5" t="s">
        <v>5</v>
      </c>
      <c r="B84" s="6" t="s">
        <v>146</v>
      </c>
      <c r="C84" s="13" t="s">
        <v>148</v>
      </c>
      <c r="D84" s="6" t="s">
        <v>117</v>
      </c>
      <c r="E84" s="6">
        <v>103</v>
      </c>
      <c r="F84" s="6">
        <v>6</v>
      </c>
      <c r="G84" s="6">
        <v>4</v>
      </c>
      <c r="H84" s="6"/>
      <c r="I84" s="6">
        <v>2</v>
      </c>
      <c r="J84" s="13"/>
    </row>
    <row r="85" spans="1:10" ht="15.75" customHeight="1" x14ac:dyDescent="0.3">
      <c r="A85" s="5" t="s">
        <v>5</v>
      </c>
      <c r="B85" s="6" t="s">
        <v>149</v>
      </c>
      <c r="C85" s="13" t="s">
        <v>147</v>
      </c>
      <c r="D85" s="6" t="s">
        <v>117</v>
      </c>
      <c r="E85" s="6">
        <v>47</v>
      </c>
      <c r="F85" s="6">
        <v>2</v>
      </c>
      <c r="G85" s="6">
        <v>1</v>
      </c>
      <c r="H85" s="6"/>
      <c r="I85" s="6">
        <v>1</v>
      </c>
      <c r="J85" s="13"/>
    </row>
    <row r="86" spans="1:10" ht="15.75" customHeight="1" x14ac:dyDescent="0.3">
      <c r="A86" s="5" t="s">
        <v>5</v>
      </c>
      <c r="B86" s="6" t="s">
        <v>67</v>
      </c>
      <c r="C86" s="13" t="s">
        <v>150</v>
      </c>
      <c r="D86" s="6" t="s">
        <v>140</v>
      </c>
      <c r="E86" s="6">
        <v>120</v>
      </c>
      <c r="F86" s="6">
        <v>9</v>
      </c>
      <c r="G86" s="6">
        <v>16</v>
      </c>
      <c r="H86" s="6"/>
      <c r="I86" s="6">
        <v>1</v>
      </c>
      <c r="J86" s="13" t="s">
        <v>121</v>
      </c>
    </row>
    <row r="87" spans="1:10" ht="15.75" customHeight="1" x14ac:dyDescent="0.3">
      <c r="A87" s="5" t="s">
        <v>5</v>
      </c>
      <c r="B87" s="6" t="s">
        <v>71</v>
      </c>
      <c r="C87" s="13" t="s">
        <v>143</v>
      </c>
      <c r="D87" s="6" t="s">
        <v>117</v>
      </c>
      <c r="E87" s="6">
        <v>159</v>
      </c>
      <c r="F87" s="6">
        <v>12</v>
      </c>
      <c r="G87" s="6">
        <v>10</v>
      </c>
      <c r="H87" s="6"/>
      <c r="I87" s="6">
        <v>1</v>
      </c>
      <c r="J87" s="13"/>
    </row>
    <row r="88" spans="1:10" ht="15.75" customHeight="1" x14ac:dyDescent="0.3">
      <c r="A88" s="5" t="s">
        <v>5</v>
      </c>
      <c r="B88" s="6" t="s">
        <v>111</v>
      </c>
      <c r="C88" s="13" t="s">
        <v>143</v>
      </c>
      <c r="D88" s="6" t="s">
        <v>117</v>
      </c>
      <c r="E88" s="6">
        <v>52</v>
      </c>
      <c r="F88" s="6">
        <v>2</v>
      </c>
      <c r="G88" s="6">
        <v>1</v>
      </c>
      <c r="H88" s="6"/>
      <c r="I88" s="6">
        <v>2</v>
      </c>
      <c r="J88" s="13"/>
    </row>
    <row r="89" spans="1:10" ht="15.75" customHeight="1" x14ac:dyDescent="0.3">
      <c r="A89" s="5" t="s">
        <v>5</v>
      </c>
      <c r="B89" s="6" t="s">
        <v>111</v>
      </c>
      <c r="C89" s="13" t="s">
        <v>151</v>
      </c>
      <c r="D89" s="6" t="s">
        <v>117</v>
      </c>
      <c r="E89" s="6">
        <v>131</v>
      </c>
      <c r="F89" s="6">
        <v>10</v>
      </c>
      <c r="G89" s="6">
        <v>8</v>
      </c>
      <c r="H89" s="6"/>
      <c r="I89" s="6">
        <v>2</v>
      </c>
      <c r="J89" s="13"/>
    </row>
    <row r="90" spans="1:10" ht="15.75" customHeight="1" x14ac:dyDescent="0.3">
      <c r="A90" s="5" t="s">
        <v>5</v>
      </c>
      <c r="B90" s="6" t="s">
        <v>74</v>
      </c>
      <c r="C90" s="13" t="s">
        <v>152</v>
      </c>
      <c r="D90" s="6" t="s">
        <v>117</v>
      </c>
      <c r="E90" s="6">
        <v>48</v>
      </c>
      <c r="F90" s="6">
        <v>6</v>
      </c>
      <c r="G90" s="6">
        <v>5</v>
      </c>
      <c r="H90" s="6"/>
      <c r="I90" s="6">
        <v>1</v>
      </c>
      <c r="J90" s="13"/>
    </row>
    <row r="91" spans="1:10" ht="15.75" customHeight="1" x14ac:dyDescent="0.3">
      <c r="A91" s="5" t="s">
        <v>5</v>
      </c>
      <c r="B91" s="6" t="s">
        <v>113</v>
      </c>
      <c r="C91" s="13" t="s">
        <v>116</v>
      </c>
      <c r="D91" s="6" t="s">
        <v>117</v>
      </c>
      <c r="E91" s="6">
        <v>86</v>
      </c>
      <c r="F91" s="6">
        <v>2</v>
      </c>
      <c r="G91" s="6">
        <v>13</v>
      </c>
      <c r="H91" s="6"/>
      <c r="I91" s="6">
        <v>1</v>
      </c>
      <c r="J91" s="13"/>
    </row>
    <row r="92" spans="1:10" ht="26.4" customHeight="1" x14ac:dyDescent="0.3">
      <c r="A92" s="14" t="s">
        <v>6</v>
      </c>
      <c r="B92" s="15" t="s">
        <v>29</v>
      </c>
      <c r="C92" s="16" t="s">
        <v>153</v>
      </c>
      <c r="D92" s="15" t="s">
        <v>154</v>
      </c>
      <c r="E92" s="15">
        <v>1188</v>
      </c>
      <c r="F92" s="15">
        <v>1</v>
      </c>
      <c r="G92" s="15">
        <v>8</v>
      </c>
      <c r="H92" s="15"/>
      <c r="I92" s="15">
        <v>1</v>
      </c>
      <c r="J92" s="16"/>
    </row>
    <row r="93" spans="1:10" ht="15.75" customHeight="1" x14ac:dyDescent="0.3">
      <c r="A93" s="14" t="s">
        <v>6</v>
      </c>
      <c r="B93" s="15" t="s">
        <v>33</v>
      </c>
      <c r="C93" s="16" t="s">
        <v>155</v>
      </c>
      <c r="D93" s="15" t="s">
        <v>77</v>
      </c>
      <c r="E93" s="15">
        <v>76</v>
      </c>
      <c r="F93" s="15">
        <v>2</v>
      </c>
      <c r="G93" s="15">
        <v>10</v>
      </c>
      <c r="H93" s="15">
        <v>13</v>
      </c>
      <c r="I93" s="15">
        <v>2</v>
      </c>
      <c r="J93" s="16" t="s">
        <v>156</v>
      </c>
    </row>
    <row r="94" spans="1:10" ht="15.75" customHeight="1" x14ac:dyDescent="0.3">
      <c r="A94" s="14" t="s">
        <v>6</v>
      </c>
      <c r="B94" s="15" t="s">
        <v>33</v>
      </c>
      <c r="C94" s="16" t="s">
        <v>157</v>
      </c>
      <c r="D94" s="15" t="s">
        <v>77</v>
      </c>
      <c r="E94" s="15">
        <v>1889</v>
      </c>
      <c r="F94" s="15">
        <v>3</v>
      </c>
      <c r="G94" s="15">
        <v>6</v>
      </c>
      <c r="H94" s="15">
        <v>4</v>
      </c>
      <c r="I94" s="15">
        <v>2</v>
      </c>
      <c r="J94" s="16"/>
    </row>
    <row r="95" spans="1:10" ht="15.75" customHeight="1" x14ac:dyDescent="0.3">
      <c r="A95" s="14" t="s">
        <v>6</v>
      </c>
      <c r="B95" s="15" t="s">
        <v>78</v>
      </c>
      <c r="C95" s="16" t="s">
        <v>158</v>
      </c>
      <c r="D95" s="15" t="s">
        <v>77</v>
      </c>
      <c r="E95" s="15">
        <v>970</v>
      </c>
      <c r="F95" s="15">
        <v>3</v>
      </c>
      <c r="G95" s="15">
        <v>14</v>
      </c>
      <c r="H95" s="15">
        <v>3</v>
      </c>
      <c r="I95" s="15">
        <v>1</v>
      </c>
      <c r="J95" s="16"/>
    </row>
    <row r="96" spans="1:10" ht="28.2" customHeight="1" x14ac:dyDescent="0.3">
      <c r="A96" s="14" t="s">
        <v>6</v>
      </c>
      <c r="B96" s="15" t="s">
        <v>39</v>
      </c>
      <c r="C96" s="16" t="s">
        <v>153</v>
      </c>
      <c r="D96" s="15" t="s">
        <v>77</v>
      </c>
      <c r="E96" s="15">
        <v>3700</v>
      </c>
      <c r="F96" s="15">
        <v>2</v>
      </c>
      <c r="G96" s="15">
        <v>6</v>
      </c>
      <c r="H96" s="15">
        <v>7000000</v>
      </c>
      <c r="I96" s="15">
        <v>1</v>
      </c>
      <c r="J96" s="16"/>
    </row>
    <row r="97" spans="1:10" ht="22.8" customHeight="1" x14ac:dyDescent="0.3">
      <c r="A97" s="14" t="s">
        <v>6</v>
      </c>
      <c r="B97" s="15" t="s">
        <v>43</v>
      </c>
      <c r="C97" s="16" t="s">
        <v>159</v>
      </c>
      <c r="D97" s="15" t="s">
        <v>154</v>
      </c>
      <c r="E97" s="15">
        <v>1797</v>
      </c>
      <c r="F97" s="15">
        <v>1</v>
      </c>
      <c r="G97" s="15">
        <v>62</v>
      </c>
      <c r="H97" s="15"/>
      <c r="I97" s="15">
        <v>2</v>
      </c>
      <c r="J97" s="16"/>
    </row>
    <row r="98" spans="1:10" ht="15.75" customHeight="1" x14ac:dyDescent="0.3">
      <c r="A98" s="14" t="s">
        <v>6</v>
      </c>
      <c r="B98" s="15" t="s">
        <v>43</v>
      </c>
      <c r="C98" s="16" t="s">
        <v>158</v>
      </c>
      <c r="D98" s="15" t="s">
        <v>77</v>
      </c>
      <c r="E98" s="15">
        <v>963</v>
      </c>
      <c r="F98" s="15">
        <v>8</v>
      </c>
      <c r="G98" s="15">
        <v>28</v>
      </c>
      <c r="H98" s="15">
        <v>4000000</v>
      </c>
      <c r="I98" s="15">
        <v>2</v>
      </c>
      <c r="J98" s="16"/>
    </row>
    <row r="99" spans="1:10" ht="15.75" customHeight="1" x14ac:dyDescent="0.3">
      <c r="A99" s="14" t="s">
        <v>6</v>
      </c>
      <c r="B99" s="15" t="s">
        <v>47</v>
      </c>
      <c r="C99" s="16" t="s">
        <v>160</v>
      </c>
      <c r="D99" s="15" t="s">
        <v>154</v>
      </c>
      <c r="E99" s="15">
        <v>1154</v>
      </c>
      <c r="F99" s="15">
        <v>5</v>
      </c>
      <c r="G99" s="15">
        <v>31</v>
      </c>
      <c r="H99" s="15"/>
      <c r="I99" s="15">
        <v>3</v>
      </c>
      <c r="J99" s="16" t="s">
        <v>161</v>
      </c>
    </row>
    <row r="100" spans="1:10" ht="15.75" customHeight="1" x14ac:dyDescent="0.3">
      <c r="A100" s="14" t="s">
        <v>6</v>
      </c>
      <c r="B100" s="15" t="s">
        <v>47</v>
      </c>
      <c r="C100" s="16" t="s">
        <v>162</v>
      </c>
      <c r="D100" s="15" t="s">
        <v>77</v>
      </c>
      <c r="E100" s="15">
        <v>2916</v>
      </c>
      <c r="F100" s="15">
        <v>2</v>
      </c>
      <c r="G100" s="15">
        <v>9</v>
      </c>
      <c r="H100" s="15">
        <v>8000000</v>
      </c>
      <c r="I100" s="15">
        <v>3</v>
      </c>
      <c r="J100" s="16"/>
    </row>
    <row r="101" spans="1:10" ht="15.75" customHeight="1" x14ac:dyDescent="0.3">
      <c r="A101" s="14" t="s">
        <v>6</v>
      </c>
      <c r="B101" s="15" t="s">
        <v>47</v>
      </c>
      <c r="C101" s="16" t="s">
        <v>163</v>
      </c>
      <c r="D101" s="15" t="s">
        <v>154</v>
      </c>
      <c r="E101" s="15">
        <v>188</v>
      </c>
      <c r="F101" s="15">
        <v>0</v>
      </c>
      <c r="G101" s="15">
        <v>8</v>
      </c>
      <c r="H101" s="15"/>
      <c r="I101" s="15">
        <v>3</v>
      </c>
      <c r="J101" s="16"/>
    </row>
    <row r="102" spans="1:10" ht="15.75" customHeight="1" x14ac:dyDescent="0.3">
      <c r="A102" s="14" t="s">
        <v>6</v>
      </c>
      <c r="B102" s="15" t="s">
        <v>85</v>
      </c>
      <c r="C102" s="16" t="s">
        <v>159</v>
      </c>
      <c r="D102" s="15" t="s">
        <v>77</v>
      </c>
      <c r="E102" s="15">
        <v>2560</v>
      </c>
      <c r="F102" s="15">
        <v>6</v>
      </c>
      <c r="G102" s="15">
        <v>5</v>
      </c>
      <c r="H102" s="15">
        <v>7</v>
      </c>
      <c r="I102" s="15">
        <v>2</v>
      </c>
      <c r="J102" s="16"/>
    </row>
    <row r="103" spans="1:10" ht="15.75" customHeight="1" x14ac:dyDescent="0.3">
      <c r="A103" s="14" t="s">
        <v>6</v>
      </c>
      <c r="B103" s="15" t="s">
        <v>85</v>
      </c>
      <c r="C103" s="16" t="s">
        <v>164</v>
      </c>
      <c r="D103" s="15" t="s">
        <v>154</v>
      </c>
      <c r="E103" s="15">
        <v>70</v>
      </c>
      <c r="F103" s="15">
        <v>1</v>
      </c>
      <c r="G103" s="15"/>
      <c r="H103" s="15"/>
      <c r="I103" s="15">
        <v>2</v>
      </c>
      <c r="J103" s="16" t="s">
        <v>165</v>
      </c>
    </row>
    <row r="104" spans="1:10" ht="15.75" customHeight="1" x14ac:dyDescent="0.3">
      <c r="A104" s="14" t="s">
        <v>6</v>
      </c>
      <c r="B104" s="15" t="s">
        <v>98</v>
      </c>
      <c r="C104" s="16" t="s">
        <v>166</v>
      </c>
      <c r="D104" s="15" t="s">
        <v>77</v>
      </c>
      <c r="E104" s="15">
        <v>4882</v>
      </c>
      <c r="F104" s="15">
        <v>4</v>
      </c>
      <c r="G104" s="15">
        <v>32</v>
      </c>
      <c r="H104" s="15">
        <v>8000000</v>
      </c>
      <c r="I104" s="15">
        <v>1</v>
      </c>
      <c r="J104" s="16"/>
    </row>
    <row r="105" spans="1:10" ht="15.75" customHeight="1" x14ac:dyDescent="0.3">
      <c r="A105" s="14" t="s">
        <v>6</v>
      </c>
      <c r="B105" s="15" t="s">
        <v>101</v>
      </c>
      <c r="C105" s="16" t="s">
        <v>167</v>
      </c>
      <c r="D105" s="15" t="s">
        <v>154</v>
      </c>
      <c r="E105" s="15">
        <v>2122</v>
      </c>
      <c r="F105" s="15">
        <v>4</v>
      </c>
      <c r="G105" s="15">
        <v>14</v>
      </c>
      <c r="H105" s="15"/>
      <c r="I105" s="15">
        <v>3</v>
      </c>
      <c r="J105" s="16" t="s">
        <v>161</v>
      </c>
    </row>
    <row r="106" spans="1:10" ht="15.75" customHeight="1" x14ac:dyDescent="0.3">
      <c r="A106" s="14" t="s">
        <v>6</v>
      </c>
      <c r="B106" s="15" t="s">
        <v>101</v>
      </c>
      <c r="C106" s="16" t="s">
        <v>167</v>
      </c>
      <c r="D106" s="15" t="s">
        <v>77</v>
      </c>
      <c r="E106" s="15">
        <v>157</v>
      </c>
      <c r="F106" s="15">
        <v>10</v>
      </c>
      <c r="G106" s="15">
        <v>44</v>
      </c>
      <c r="H106" s="15">
        <v>19</v>
      </c>
      <c r="I106" s="15">
        <v>3</v>
      </c>
      <c r="J106" s="16" t="s">
        <v>168</v>
      </c>
    </row>
    <row r="107" spans="1:10" ht="15.75" customHeight="1" x14ac:dyDescent="0.3">
      <c r="A107" s="14" t="s">
        <v>6</v>
      </c>
      <c r="B107" s="15" t="s">
        <v>101</v>
      </c>
      <c r="C107" s="16" t="s">
        <v>169</v>
      </c>
      <c r="D107" s="15" t="s">
        <v>77</v>
      </c>
      <c r="E107" s="15">
        <v>4214</v>
      </c>
      <c r="F107" s="15">
        <v>5</v>
      </c>
      <c r="G107" s="15">
        <v>59</v>
      </c>
      <c r="H107" s="15">
        <v>7</v>
      </c>
      <c r="I107" s="15">
        <v>3</v>
      </c>
      <c r="J107" s="16"/>
    </row>
    <row r="108" spans="1:10" ht="24" customHeight="1" x14ac:dyDescent="0.3">
      <c r="A108" s="14" t="s">
        <v>6</v>
      </c>
      <c r="B108" s="15" t="s">
        <v>54</v>
      </c>
      <c r="C108" s="16" t="s">
        <v>170</v>
      </c>
      <c r="D108" s="15" t="s">
        <v>154</v>
      </c>
      <c r="E108" s="15">
        <v>1539</v>
      </c>
      <c r="F108" s="15">
        <v>4</v>
      </c>
      <c r="G108" s="15">
        <v>8</v>
      </c>
      <c r="H108" s="15"/>
      <c r="I108" s="15">
        <v>1</v>
      </c>
      <c r="J108" s="16"/>
    </row>
    <row r="109" spans="1:10" ht="26.4" customHeight="1" x14ac:dyDescent="0.3">
      <c r="A109" s="14" t="s">
        <v>6</v>
      </c>
      <c r="B109" s="15" t="s">
        <v>104</v>
      </c>
      <c r="C109" s="16" t="s">
        <v>170</v>
      </c>
      <c r="D109" s="15" t="s">
        <v>154</v>
      </c>
      <c r="E109" s="15">
        <v>1577</v>
      </c>
      <c r="F109" s="15">
        <v>5</v>
      </c>
      <c r="G109" s="15">
        <v>19</v>
      </c>
      <c r="H109" s="15">
        <v>4</v>
      </c>
      <c r="I109" s="15">
        <v>1</v>
      </c>
      <c r="J109" s="16"/>
    </row>
    <row r="110" spans="1:10" ht="22.8" customHeight="1" x14ac:dyDescent="0.3">
      <c r="A110" s="14" t="s">
        <v>6</v>
      </c>
      <c r="B110" s="15" t="s">
        <v>138</v>
      </c>
      <c r="C110" s="16" t="s">
        <v>159</v>
      </c>
      <c r="D110" s="15" t="s">
        <v>154</v>
      </c>
      <c r="E110" s="15">
        <v>163</v>
      </c>
      <c r="F110" s="15">
        <v>4</v>
      </c>
      <c r="G110" s="15">
        <v>51</v>
      </c>
      <c r="H110" s="15"/>
      <c r="I110" s="15">
        <v>1</v>
      </c>
      <c r="J110" s="16"/>
    </row>
    <row r="111" spans="1:10" ht="15.75" customHeight="1" x14ac:dyDescent="0.3">
      <c r="A111" s="14" t="s">
        <v>6</v>
      </c>
      <c r="B111" s="15" t="s">
        <v>149</v>
      </c>
      <c r="C111" s="16" t="s">
        <v>139</v>
      </c>
      <c r="D111" s="15" t="s">
        <v>154</v>
      </c>
      <c r="E111" s="15">
        <v>1446</v>
      </c>
      <c r="F111" s="15">
        <v>1</v>
      </c>
      <c r="G111" s="15">
        <v>7</v>
      </c>
      <c r="H111" s="15"/>
      <c r="I111" s="15">
        <v>1</v>
      </c>
      <c r="J111" s="16"/>
    </row>
    <row r="112" spans="1:10" ht="25.8" customHeight="1" x14ac:dyDescent="0.3">
      <c r="A112" s="14" t="s">
        <v>6</v>
      </c>
      <c r="B112" s="15" t="s">
        <v>171</v>
      </c>
      <c r="C112" s="16" t="s">
        <v>170</v>
      </c>
      <c r="D112" s="15" t="s">
        <v>154</v>
      </c>
      <c r="E112" s="15">
        <v>147</v>
      </c>
      <c r="F112" s="15"/>
      <c r="G112" s="15">
        <v>9</v>
      </c>
      <c r="H112" s="15"/>
      <c r="I112" s="15">
        <v>2</v>
      </c>
      <c r="J112" s="16"/>
    </row>
    <row r="113" spans="1:10" ht="32.4" customHeight="1" x14ac:dyDescent="0.3">
      <c r="A113" s="14" t="s">
        <v>6</v>
      </c>
      <c r="B113" s="15" t="s">
        <v>171</v>
      </c>
      <c r="C113" s="16" t="s">
        <v>172</v>
      </c>
      <c r="D113" s="15" t="s">
        <v>77</v>
      </c>
      <c r="E113" s="15">
        <v>6428</v>
      </c>
      <c r="F113" s="15">
        <v>4</v>
      </c>
      <c r="G113" s="15">
        <v>35</v>
      </c>
      <c r="H113" s="15"/>
      <c r="I113" s="15">
        <v>2</v>
      </c>
      <c r="J113" s="16"/>
    </row>
    <row r="114" spans="1:10" ht="15.75" customHeight="1" x14ac:dyDescent="0.3">
      <c r="A114" s="14" t="s">
        <v>6</v>
      </c>
      <c r="B114" s="15" t="s">
        <v>111</v>
      </c>
      <c r="C114" s="16" t="s">
        <v>173</v>
      </c>
      <c r="D114" s="15" t="s">
        <v>77</v>
      </c>
      <c r="E114" s="15">
        <v>8813</v>
      </c>
      <c r="F114" s="15">
        <v>2</v>
      </c>
      <c r="G114" s="15">
        <v>18</v>
      </c>
      <c r="H114" s="15">
        <v>16</v>
      </c>
      <c r="I114" s="15">
        <v>1</v>
      </c>
      <c r="J114" s="16"/>
    </row>
    <row r="115" spans="1:10" ht="25.2" customHeight="1" x14ac:dyDescent="0.3">
      <c r="A115" s="14" t="s">
        <v>6</v>
      </c>
      <c r="B115" s="15" t="s">
        <v>74</v>
      </c>
      <c r="C115" s="16" t="s">
        <v>174</v>
      </c>
      <c r="D115" s="15" t="s">
        <v>77</v>
      </c>
      <c r="E115" s="15">
        <v>22000</v>
      </c>
      <c r="F115" s="15">
        <v>87</v>
      </c>
      <c r="G115" s="15">
        <v>392</v>
      </c>
      <c r="H115" s="15">
        <v>13</v>
      </c>
      <c r="I115" s="15">
        <v>1</v>
      </c>
      <c r="J115" s="16" t="s">
        <v>168</v>
      </c>
    </row>
    <row r="116" spans="1:10" ht="15.75" customHeight="1" x14ac:dyDescent="0.3">
      <c r="A116" s="17" t="s">
        <v>7</v>
      </c>
      <c r="B116" s="18" t="s">
        <v>33</v>
      </c>
      <c r="C116" s="19" t="s">
        <v>175</v>
      </c>
      <c r="D116" s="18" t="s">
        <v>176</v>
      </c>
      <c r="E116" s="18">
        <v>100000</v>
      </c>
      <c r="F116" s="18">
        <v>60</v>
      </c>
      <c r="G116" s="18">
        <v>57</v>
      </c>
      <c r="H116" s="18"/>
      <c r="I116" s="18">
        <v>1</v>
      </c>
      <c r="J116" s="19"/>
    </row>
    <row r="117" spans="1:10" ht="15.75" customHeight="1" x14ac:dyDescent="0.3">
      <c r="A117" s="17" t="s">
        <v>7</v>
      </c>
      <c r="B117" s="18" t="s">
        <v>39</v>
      </c>
      <c r="C117" s="19" t="s">
        <v>177</v>
      </c>
      <c r="D117" s="18" t="s">
        <v>178</v>
      </c>
      <c r="E117" s="18">
        <v>105</v>
      </c>
      <c r="F117" s="18">
        <v>1</v>
      </c>
      <c r="G117" s="18">
        <v>20</v>
      </c>
      <c r="H117" s="18">
        <v>10500</v>
      </c>
      <c r="I117" s="18">
        <v>2</v>
      </c>
      <c r="J117" s="19"/>
    </row>
    <row r="118" spans="1:10" ht="15.75" customHeight="1" x14ac:dyDescent="0.3">
      <c r="A118" s="17" t="s">
        <v>7</v>
      </c>
      <c r="B118" s="18" t="s">
        <v>39</v>
      </c>
      <c r="C118" s="19" t="s">
        <v>179</v>
      </c>
      <c r="D118" s="18" t="s">
        <v>176</v>
      </c>
      <c r="E118" s="18">
        <v>67100</v>
      </c>
      <c r="F118" s="18">
        <v>52</v>
      </c>
      <c r="G118" s="18">
        <v>67</v>
      </c>
      <c r="H118" s="18"/>
      <c r="I118" s="18">
        <v>2</v>
      </c>
      <c r="J118" s="19"/>
    </row>
    <row r="119" spans="1:10" ht="15.75" customHeight="1" x14ac:dyDescent="0.3">
      <c r="A119" s="17" t="s">
        <v>7</v>
      </c>
      <c r="B119" s="18" t="s">
        <v>82</v>
      </c>
      <c r="C119" s="19" t="s">
        <v>180</v>
      </c>
      <c r="D119" s="18" t="s">
        <v>176</v>
      </c>
      <c r="E119" s="18">
        <v>23400</v>
      </c>
      <c r="F119" s="18">
        <v>15</v>
      </c>
      <c r="G119" s="18">
        <v>17</v>
      </c>
      <c r="H119" s="18"/>
      <c r="I119" s="18">
        <v>1</v>
      </c>
      <c r="J119" s="19" t="s">
        <v>181</v>
      </c>
    </row>
    <row r="120" spans="1:10" ht="15.75" customHeight="1" x14ac:dyDescent="0.3">
      <c r="A120" s="17" t="s">
        <v>7</v>
      </c>
      <c r="B120" s="18" t="s">
        <v>43</v>
      </c>
      <c r="C120" s="19" t="s">
        <v>175</v>
      </c>
      <c r="D120" s="18" t="s">
        <v>178</v>
      </c>
      <c r="E120" s="18">
        <v>24300</v>
      </c>
      <c r="F120" s="18">
        <v>7</v>
      </c>
      <c r="G120" s="18">
        <v>28</v>
      </c>
      <c r="H120" s="18">
        <v>2600000</v>
      </c>
      <c r="I120" s="18">
        <v>1</v>
      </c>
      <c r="J120" s="19"/>
    </row>
    <row r="121" spans="1:10" ht="15.75" customHeight="1" x14ac:dyDescent="0.3">
      <c r="A121" s="17" t="s">
        <v>7</v>
      </c>
      <c r="B121" s="18" t="s">
        <v>123</v>
      </c>
      <c r="C121" s="19" t="s">
        <v>175</v>
      </c>
      <c r="D121" s="18" t="s">
        <v>176</v>
      </c>
      <c r="E121" s="18">
        <v>25100</v>
      </c>
      <c r="F121" s="18">
        <v>14</v>
      </c>
      <c r="G121" s="18">
        <v>6</v>
      </c>
      <c r="H121" s="18"/>
      <c r="I121" s="18">
        <v>1</v>
      </c>
      <c r="J121" s="19"/>
    </row>
    <row r="122" spans="1:10" ht="15.75" customHeight="1" x14ac:dyDescent="0.3">
      <c r="A122" s="17" t="s">
        <v>7</v>
      </c>
      <c r="B122" s="18" t="s">
        <v>47</v>
      </c>
      <c r="C122" s="19" t="s">
        <v>175</v>
      </c>
      <c r="D122" s="18" t="s">
        <v>178</v>
      </c>
      <c r="E122" s="18">
        <v>54200</v>
      </c>
      <c r="F122" s="18">
        <v>18</v>
      </c>
      <c r="G122" s="18">
        <v>25</v>
      </c>
      <c r="H122" s="18">
        <v>3700000</v>
      </c>
      <c r="I122" s="18">
        <v>1</v>
      </c>
      <c r="J122" s="19"/>
    </row>
    <row r="123" spans="1:10" ht="15.75" customHeight="1" x14ac:dyDescent="0.3">
      <c r="A123" s="17" t="s">
        <v>7</v>
      </c>
      <c r="B123" s="18" t="s">
        <v>85</v>
      </c>
      <c r="C123" s="19" t="s">
        <v>175</v>
      </c>
      <c r="D123" s="18" t="s">
        <v>178</v>
      </c>
      <c r="E123" s="18">
        <v>71000</v>
      </c>
      <c r="F123" s="18">
        <v>17</v>
      </c>
      <c r="G123" s="18">
        <v>17</v>
      </c>
      <c r="H123" s="18">
        <v>5000000</v>
      </c>
      <c r="I123" s="18">
        <v>2</v>
      </c>
      <c r="J123" s="19"/>
    </row>
    <row r="124" spans="1:10" ht="15.75" customHeight="1" x14ac:dyDescent="0.3">
      <c r="A124" s="17" t="s">
        <v>7</v>
      </c>
      <c r="B124" s="18" t="s">
        <v>85</v>
      </c>
      <c r="C124" s="19" t="s">
        <v>182</v>
      </c>
      <c r="D124" s="18" t="s">
        <v>176</v>
      </c>
      <c r="E124" s="18">
        <v>101000</v>
      </c>
      <c r="F124" s="18">
        <v>93</v>
      </c>
      <c r="G124" s="18">
        <v>21</v>
      </c>
      <c r="H124" s="18"/>
      <c r="I124" s="18">
        <v>2</v>
      </c>
      <c r="J124" s="19" t="s">
        <v>183</v>
      </c>
    </row>
    <row r="125" spans="1:10" ht="15.75" customHeight="1" x14ac:dyDescent="0.3">
      <c r="A125" s="17" t="s">
        <v>7</v>
      </c>
      <c r="B125" s="18" t="s">
        <v>49</v>
      </c>
      <c r="C125" s="19" t="s">
        <v>184</v>
      </c>
      <c r="D125" s="18" t="s">
        <v>178</v>
      </c>
      <c r="E125" s="18">
        <v>144000</v>
      </c>
      <c r="F125" s="18">
        <v>14</v>
      </c>
      <c r="G125" s="18">
        <v>19</v>
      </c>
      <c r="H125" s="18">
        <v>5200000</v>
      </c>
      <c r="I125" s="18">
        <v>1</v>
      </c>
      <c r="J125" s="19"/>
    </row>
    <row r="126" spans="1:10" ht="15.75" customHeight="1" x14ac:dyDescent="0.3">
      <c r="A126" s="17" t="s">
        <v>7</v>
      </c>
      <c r="B126" s="18" t="s">
        <v>93</v>
      </c>
      <c r="C126" s="19" t="s">
        <v>133</v>
      </c>
      <c r="D126" s="18"/>
      <c r="E126" s="18"/>
      <c r="F126" s="18"/>
      <c r="G126" s="18"/>
      <c r="H126" s="18"/>
      <c r="I126" s="18">
        <v>2</v>
      </c>
      <c r="J126" s="19"/>
    </row>
    <row r="127" spans="1:10" ht="15.75" customHeight="1" x14ac:dyDescent="0.3">
      <c r="A127" s="17" t="s">
        <v>7</v>
      </c>
      <c r="B127" s="18" t="s">
        <v>93</v>
      </c>
      <c r="C127" s="19" t="s">
        <v>175</v>
      </c>
      <c r="D127" s="18" t="s">
        <v>178</v>
      </c>
      <c r="E127" s="18">
        <v>179000</v>
      </c>
      <c r="F127" s="18">
        <v>34</v>
      </c>
      <c r="G127" s="18">
        <v>35</v>
      </c>
      <c r="H127" s="18">
        <v>4200000</v>
      </c>
      <c r="I127" s="18">
        <v>2</v>
      </c>
      <c r="J127" s="19"/>
    </row>
    <row r="128" spans="1:10" ht="15.75" customHeight="1" x14ac:dyDescent="0.3">
      <c r="A128" s="17" t="s">
        <v>7</v>
      </c>
      <c r="B128" s="18" t="s">
        <v>51</v>
      </c>
      <c r="C128" s="19" t="s">
        <v>185</v>
      </c>
      <c r="D128" s="18"/>
      <c r="E128" s="18"/>
      <c r="F128" s="18"/>
      <c r="G128" s="18"/>
      <c r="H128" s="18"/>
      <c r="I128" s="18">
        <v>1</v>
      </c>
      <c r="J128" s="19"/>
    </row>
    <row r="129" spans="1:10" ht="15.75" customHeight="1" x14ac:dyDescent="0.3">
      <c r="A129" s="17" t="s">
        <v>7</v>
      </c>
      <c r="B129" s="18" t="s">
        <v>101</v>
      </c>
      <c r="C129" s="19" t="s">
        <v>175</v>
      </c>
      <c r="D129" s="18" t="s">
        <v>178</v>
      </c>
      <c r="E129" s="18">
        <v>13900</v>
      </c>
      <c r="F129" s="18">
        <v>4</v>
      </c>
      <c r="G129" s="18">
        <v>14</v>
      </c>
      <c r="H129" s="18">
        <v>803000</v>
      </c>
      <c r="I129" s="18">
        <v>1</v>
      </c>
      <c r="J129" s="19"/>
    </row>
    <row r="130" spans="1:10" ht="15.75" customHeight="1" x14ac:dyDescent="0.3">
      <c r="A130" s="17" t="s">
        <v>7</v>
      </c>
      <c r="B130" s="18" t="s">
        <v>103</v>
      </c>
      <c r="C130" s="19" t="s">
        <v>184</v>
      </c>
      <c r="D130" s="18"/>
      <c r="E130" s="18"/>
      <c r="F130" s="18"/>
      <c r="G130" s="18"/>
      <c r="H130" s="18"/>
      <c r="I130" s="18">
        <v>3</v>
      </c>
      <c r="J130" s="19"/>
    </row>
    <row r="131" spans="1:10" ht="15.75" customHeight="1" x14ac:dyDescent="0.3">
      <c r="A131" s="17" t="s">
        <v>7</v>
      </c>
      <c r="B131" s="18" t="s">
        <v>103</v>
      </c>
      <c r="C131" s="19" t="s">
        <v>186</v>
      </c>
      <c r="D131" s="18" t="s">
        <v>178</v>
      </c>
      <c r="E131" s="18">
        <v>713</v>
      </c>
      <c r="F131" s="18">
        <v>25</v>
      </c>
      <c r="G131" s="18">
        <v>331</v>
      </c>
      <c r="H131" s="18">
        <v>62500</v>
      </c>
      <c r="I131" s="18">
        <v>3</v>
      </c>
      <c r="J131" s="19"/>
    </row>
    <row r="132" spans="1:10" ht="15.75" customHeight="1" x14ac:dyDescent="0.3">
      <c r="A132" s="17" t="s">
        <v>7</v>
      </c>
      <c r="B132" s="18" t="s">
        <v>103</v>
      </c>
      <c r="C132" s="19" t="s">
        <v>175</v>
      </c>
      <c r="D132" s="18" t="s">
        <v>178</v>
      </c>
      <c r="E132" s="18">
        <v>49500</v>
      </c>
      <c r="F132" s="18">
        <v>24</v>
      </c>
      <c r="G132" s="18">
        <v>18</v>
      </c>
      <c r="H132" s="18">
        <v>2700000</v>
      </c>
      <c r="I132" s="18">
        <v>3</v>
      </c>
      <c r="J132" s="19"/>
    </row>
    <row r="133" spans="1:10" ht="15.75" customHeight="1" x14ac:dyDescent="0.3">
      <c r="A133" s="17" t="s">
        <v>7</v>
      </c>
      <c r="B133" s="18" t="s">
        <v>56</v>
      </c>
      <c r="C133" s="19" t="s">
        <v>177</v>
      </c>
      <c r="D133" s="18" t="s">
        <v>178</v>
      </c>
      <c r="E133" s="18">
        <v>94500</v>
      </c>
      <c r="F133" s="18">
        <v>25</v>
      </c>
      <c r="G133" s="18">
        <v>28</v>
      </c>
      <c r="H133" s="18">
        <v>3500000</v>
      </c>
      <c r="I133" s="18">
        <v>1</v>
      </c>
      <c r="J133" s="19"/>
    </row>
    <row r="134" spans="1:10" ht="15.75" customHeight="1" x14ac:dyDescent="0.3">
      <c r="A134" s="17" t="s">
        <v>7</v>
      </c>
      <c r="B134" s="18" t="s">
        <v>104</v>
      </c>
      <c r="C134" s="19" t="s">
        <v>187</v>
      </c>
      <c r="D134" s="18" t="s">
        <v>176</v>
      </c>
      <c r="E134" s="18">
        <v>81700</v>
      </c>
      <c r="F134" s="18">
        <v>53</v>
      </c>
      <c r="G134" s="18">
        <v>39</v>
      </c>
      <c r="H134" s="18"/>
      <c r="I134" s="18">
        <v>1</v>
      </c>
      <c r="J134" s="19" t="s">
        <v>188</v>
      </c>
    </row>
    <row r="135" spans="1:10" ht="15.75" customHeight="1" x14ac:dyDescent="0.3">
      <c r="A135" s="17" t="s">
        <v>7</v>
      </c>
      <c r="B135" s="18" t="s">
        <v>58</v>
      </c>
      <c r="C135" s="19" t="s">
        <v>139</v>
      </c>
      <c r="D135" s="18"/>
      <c r="E135" s="18"/>
      <c r="F135" s="18"/>
      <c r="G135" s="18"/>
      <c r="H135" s="18"/>
      <c r="I135" s="18">
        <v>3</v>
      </c>
      <c r="J135" s="19"/>
    </row>
    <row r="136" spans="1:10" ht="15.75" customHeight="1" x14ac:dyDescent="0.3">
      <c r="A136" s="17" t="s">
        <v>7</v>
      </c>
      <c r="B136" s="18" t="s">
        <v>58</v>
      </c>
      <c r="C136" s="19" t="s">
        <v>175</v>
      </c>
      <c r="D136" s="18" t="s">
        <v>178</v>
      </c>
      <c r="E136" s="18">
        <v>107000</v>
      </c>
      <c r="F136" s="18">
        <v>13</v>
      </c>
      <c r="G136" s="18">
        <v>12</v>
      </c>
      <c r="H136" s="18">
        <v>2400000</v>
      </c>
      <c r="I136" s="18">
        <v>3</v>
      </c>
      <c r="J136" s="19"/>
    </row>
    <row r="137" spans="1:10" ht="15.75" customHeight="1" x14ac:dyDescent="0.3">
      <c r="A137" s="17" t="s">
        <v>7</v>
      </c>
      <c r="B137" s="18" t="s">
        <v>58</v>
      </c>
      <c r="C137" s="19" t="s">
        <v>175</v>
      </c>
      <c r="D137" s="18" t="s">
        <v>176</v>
      </c>
      <c r="E137" s="18">
        <v>56800</v>
      </c>
      <c r="F137" s="18">
        <v>17</v>
      </c>
      <c r="G137" s="18">
        <v>9</v>
      </c>
      <c r="H137" s="18"/>
      <c r="I137" s="18">
        <v>3</v>
      </c>
      <c r="J137" s="19"/>
    </row>
    <row r="138" spans="1:10" ht="15.75" customHeight="1" x14ac:dyDescent="0.3">
      <c r="A138" s="17" t="s">
        <v>7</v>
      </c>
      <c r="B138" s="18" t="s">
        <v>189</v>
      </c>
      <c r="C138" s="19" t="s">
        <v>177</v>
      </c>
      <c r="D138" s="18" t="s">
        <v>178</v>
      </c>
      <c r="E138" s="18">
        <v>207</v>
      </c>
      <c r="F138" s="18">
        <v>26</v>
      </c>
      <c r="G138" s="18">
        <v>51</v>
      </c>
      <c r="H138" s="18">
        <v>18000</v>
      </c>
      <c r="I138" s="18">
        <v>2</v>
      </c>
      <c r="J138" s="19"/>
    </row>
    <row r="139" spans="1:10" ht="15.75" customHeight="1" x14ac:dyDescent="0.3">
      <c r="A139" s="17" t="s">
        <v>7</v>
      </c>
      <c r="B139" s="18" t="s">
        <v>189</v>
      </c>
      <c r="C139" s="19" t="s">
        <v>175</v>
      </c>
      <c r="D139" s="18" t="s">
        <v>178</v>
      </c>
      <c r="E139" s="18">
        <v>70300</v>
      </c>
      <c r="F139" s="18">
        <v>15</v>
      </c>
      <c r="G139" s="18">
        <v>44</v>
      </c>
      <c r="H139" s="18">
        <v>2300000</v>
      </c>
      <c r="I139" s="18">
        <v>2</v>
      </c>
      <c r="J139" s="19"/>
    </row>
    <row r="140" spans="1:10" ht="15.75" customHeight="1" x14ac:dyDescent="0.3">
      <c r="A140" s="17" t="s">
        <v>7</v>
      </c>
      <c r="B140" s="18" t="s">
        <v>141</v>
      </c>
      <c r="C140" s="19" t="s">
        <v>190</v>
      </c>
      <c r="D140" s="18" t="s">
        <v>176</v>
      </c>
      <c r="E140" s="18">
        <v>50900</v>
      </c>
      <c r="F140" s="18">
        <v>36</v>
      </c>
      <c r="G140" s="18">
        <v>31</v>
      </c>
      <c r="H140" s="18"/>
      <c r="I140" s="18">
        <v>1</v>
      </c>
      <c r="J140" s="19"/>
    </row>
    <row r="141" spans="1:10" ht="15.75" customHeight="1" x14ac:dyDescent="0.3">
      <c r="A141" s="17" t="s">
        <v>7</v>
      </c>
      <c r="B141" s="18" t="s">
        <v>63</v>
      </c>
      <c r="C141" s="19" t="s">
        <v>184</v>
      </c>
      <c r="D141" s="18" t="s">
        <v>176</v>
      </c>
      <c r="E141" s="18">
        <v>64500</v>
      </c>
      <c r="F141" s="18">
        <v>40</v>
      </c>
      <c r="G141" s="18">
        <v>21</v>
      </c>
      <c r="H141" s="18"/>
      <c r="I141" s="18">
        <v>1</v>
      </c>
      <c r="J141" s="19"/>
    </row>
    <row r="142" spans="1:10" ht="15.75" customHeight="1" x14ac:dyDescent="0.3">
      <c r="A142" s="2" t="s">
        <v>8</v>
      </c>
      <c r="B142" s="3" t="s">
        <v>29</v>
      </c>
      <c r="C142" s="7"/>
      <c r="D142" s="3"/>
      <c r="E142" s="3"/>
      <c r="F142" s="3"/>
      <c r="G142" s="3"/>
      <c r="H142" s="3"/>
      <c r="I142" s="3"/>
      <c r="J142" s="7"/>
    </row>
    <row r="143" spans="1:10" ht="15.75" customHeight="1" x14ac:dyDescent="0.3">
      <c r="A143" s="2" t="s">
        <v>8</v>
      </c>
      <c r="B143" s="3" t="s">
        <v>29</v>
      </c>
      <c r="C143" s="7" t="s">
        <v>191</v>
      </c>
      <c r="D143" s="3" t="s">
        <v>192</v>
      </c>
      <c r="E143" s="3">
        <v>171</v>
      </c>
      <c r="F143" s="3">
        <v>1</v>
      </c>
      <c r="G143" s="3">
        <v>12</v>
      </c>
      <c r="H143" s="3"/>
      <c r="I143" s="3"/>
      <c r="J143" s="7" t="s">
        <v>193</v>
      </c>
    </row>
    <row r="144" spans="1:10" ht="15.75" customHeight="1" x14ac:dyDescent="0.3">
      <c r="A144" s="2" t="s">
        <v>8</v>
      </c>
      <c r="B144" s="3" t="s">
        <v>33</v>
      </c>
      <c r="C144" s="7" t="s">
        <v>194</v>
      </c>
      <c r="D144" s="3" t="s">
        <v>178</v>
      </c>
      <c r="E144" s="3">
        <v>11</v>
      </c>
      <c r="F144" s="3">
        <v>52</v>
      </c>
      <c r="G144" s="3">
        <v>94</v>
      </c>
      <c r="H144" s="3">
        <v>15</v>
      </c>
      <c r="I144" s="3"/>
      <c r="J144" s="7"/>
    </row>
    <row r="145" spans="1:10" ht="15.75" customHeight="1" x14ac:dyDescent="0.3">
      <c r="A145" s="2" t="s">
        <v>8</v>
      </c>
      <c r="B145" s="3" t="s">
        <v>36</v>
      </c>
      <c r="C145" s="7" t="s">
        <v>195</v>
      </c>
      <c r="D145" s="3" t="s">
        <v>192</v>
      </c>
      <c r="E145" s="3">
        <v>239</v>
      </c>
      <c r="F145" s="3">
        <v>1</v>
      </c>
      <c r="G145" s="3">
        <v>16</v>
      </c>
      <c r="H145" s="3"/>
      <c r="I145" s="3"/>
      <c r="J145" s="7"/>
    </row>
    <row r="146" spans="1:10" ht="15.75" customHeight="1" x14ac:dyDescent="0.3">
      <c r="A146" s="2" t="s">
        <v>8</v>
      </c>
      <c r="B146" s="3" t="s">
        <v>36</v>
      </c>
      <c r="C146" s="7" t="s">
        <v>196</v>
      </c>
      <c r="D146" s="3" t="s">
        <v>178</v>
      </c>
      <c r="E146" s="3">
        <v>364</v>
      </c>
      <c r="F146" s="3">
        <v>21</v>
      </c>
      <c r="G146" s="3">
        <v>24</v>
      </c>
      <c r="H146" s="3">
        <v>51</v>
      </c>
      <c r="I146" s="3"/>
      <c r="J146" s="7"/>
    </row>
    <row r="147" spans="1:10" ht="15.75" customHeight="1" x14ac:dyDescent="0.3">
      <c r="A147" s="2" t="s">
        <v>8</v>
      </c>
      <c r="B147" s="3" t="s">
        <v>36</v>
      </c>
      <c r="C147" s="7" t="s">
        <v>196</v>
      </c>
      <c r="D147" s="3" t="s">
        <v>178</v>
      </c>
      <c r="E147" s="3">
        <v>736</v>
      </c>
      <c r="F147" s="3">
        <v>5</v>
      </c>
      <c r="G147" s="3">
        <v>115</v>
      </c>
      <c r="H147" s="3">
        <v>72</v>
      </c>
      <c r="I147" s="3"/>
      <c r="J147" s="7"/>
    </row>
    <row r="148" spans="1:10" ht="15.75" customHeight="1" x14ac:dyDescent="0.3">
      <c r="A148" s="2" t="s">
        <v>8</v>
      </c>
      <c r="B148" s="3" t="s">
        <v>123</v>
      </c>
      <c r="C148" s="7" t="s">
        <v>197</v>
      </c>
      <c r="D148" s="3" t="s">
        <v>178</v>
      </c>
      <c r="E148" s="3">
        <v>2323</v>
      </c>
      <c r="F148" s="3">
        <v>7</v>
      </c>
      <c r="G148" s="3">
        <v>2163</v>
      </c>
      <c r="H148" s="3">
        <v>151000</v>
      </c>
      <c r="I148" s="3"/>
      <c r="J148" s="7"/>
    </row>
    <row r="149" spans="1:10" ht="15.75" customHeight="1" x14ac:dyDescent="0.3">
      <c r="A149" s="2" t="s">
        <v>8</v>
      </c>
      <c r="B149" s="3" t="s">
        <v>45</v>
      </c>
      <c r="C149" s="7" t="s">
        <v>198</v>
      </c>
      <c r="D149" s="3" t="s">
        <v>178</v>
      </c>
      <c r="E149" s="3">
        <v>1518</v>
      </c>
      <c r="F149" s="3">
        <v>9</v>
      </c>
      <c r="G149" s="3">
        <v>101</v>
      </c>
      <c r="H149" s="3">
        <v>2</v>
      </c>
      <c r="I149" s="3"/>
      <c r="J149" s="7"/>
    </row>
    <row r="150" spans="1:10" ht="15.75" customHeight="1" x14ac:dyDescent="0.3">
      <c r="A150" s="2" t="s">
        <v>8</v>
      </c>
      <c r="B150" s="3" t="s">
        <v>47</v>
      </c>
      <c r="C150" s="7" t="s">
        <v>199</v>
      </c>
      <c r="D150" s="3" t="s">
        <v>178</v>
      </c>
      <c r="E150" s="3">
        <v>11</v>
      </c>
      <c r="F150" s="3">
        <v>11</v>
      </c>
      <c r="G150" s="3">
        <v>33</v>
      </c>
      <c r="H150" s="3">
        <v>8</v>
      </c>
      <c r="I150" s="3"/>
      <c r="J150" s="7"/>
    </row>
    <row r="151" spans="1:10" ht="15.75" customHeight="1" x14ac:dyDescent="0.3">
      <c r="A151" s="2" t="s">
        <v>8</v>
      </c>
      <c r="B151" s="3" t="s">
        <v>47</v>
      </c>
      <c r="C151" s="7" t="s">
        <v>200</v>
      </c>
      <c r="D151" s="3" t="s">
        <v>178</v>
      </c>
      <c r="E151" s="3">
        <v>191</v>
      </c>
      <c r="F151" s="3">
        <v>1</v>
      </c>
      <c r="G151" s="3">
        <v>23</v>
      </c>
      <c r="H151" s="3">
        <v>12</v>
      </c>
      <c r="I151" s="3"/>
      <c r="J151" s="7"/>
    </row>
    <row r="152" spans="1:10" ht="15.75" customHeight="1" x14ac:dyDescent="0.3">
      <c r="A152" s="2" t="s">
        <v>8</v>
      </c>
      <c r="B152" s="3" t="s">
        <v>47</v>
      </c>
      <c r="C152" s="7" t="s">
        <v>179</v>
      </c>
      <c r="D152" s="3" t="s">
        <v>192</v>
      </c>
      <c r="E152" s="3">
        <v>209</v>
      </c>
      <c r="F152" s="3">
        <v>1</v>
      </c>
      <c r="G152" s="3">
        <v>29</v>
      </c>
      <c r="H152" s="3"/>
      <c r="I152" s="3"/>
      <c r="J152" s="7"/>
    </row>
    <row r="153" spans="1:10" ht="15.75" customHeight="1" x14ac:dyDescent="0.3">
      <c r="A153" s="2" t="s">
        <v>8</v>
      </c>
      <c r="B153" s="3" t="s">
        <v>49</v>
      </c>
      <c r="C153" s="7" t="s">
        <v>198</v>
      </c>
      <c r="D153" s="3" t="s">
        <v>178</v>
      </c>
      <c r="E153" s="3">
        <v>3895</v>
      </c>
      <c r="F153" s="3">
        <v>8</v>
      </c>
      <c r="G153" s="3">
        <v>9</v>
      </c>
      <c r="H153" s="3">
        <v>4</v>
      </c>
      <c r="I153" s="3"/>
      <c r="J153" s="7"/>
    </row>
    <row r="154" spans="1:10" ht="15.75" customHeight="1" x14ac:dyDescent="0.3">
      <c r="A154" s="2" t="s">
        <v>8</v>
      </c>
      <c r="B154" s="3" t="s">
        <v>93</v>
      </c>
      <c r="C154" s="7" t="s">
        <v>201</v>
      </c>
      <c r="D154" s="3" t="s">
        <v>178</v>
      </c>
      <c r="E154" s="3">
        <v>6985</v>
      </c>
      <c r="F154" s="3">
        <v>10</v>
      </c>
      <c r="G154" s="3">
        <v>19</v>
      </c>
      <c r="H154" s="3">
        <v>4</v>
      </c>
      <c r="I154" s="3"/>
      <c r="J154" s="7"/>
    </row>
    <row r="155" spans="1:10" ht="15.75" customHeight="1" x14ac:dyDescent="0.3">
      <c r="A155" s="2" t="s">
        <v>8</v>
      </c>
      <c r="B155" s="3" t="s">
        <v>93</v>
      </c>
      <c r="C155" s="7" t="s">
        <v>202</v>
      </c>
      <c r="D155" s="3" t="s">
        <v>192</v>
      </c>
      <c r="E155" s="3">
        <v>289</v>
      </c>
      <c r="F155" s="3">
        <v>2</v>
      </c>
      <c r="G155" s="3">
        <v>30</v>
      </c>
      <c r="H155" s="3"/>
      <c r="I155" s="3"/>
      <c r="J155" s="7"/>
    </row>
    <row r="156" spans="1:10" ht="15.75" customHeight="1" x14ac:dyDescent="0.3">
      <c r="A156" s="2" t="s">
        <v>8</v>
      </c>
      <c r="B156" s="3" t="s">
        <v>95</v>
      </c>
      <c r="C156" s="7" t="s">
        <v>197</v>
      </c>
      <c r="D156" s="3" t="s">
        <v>178</v>
      </c>
      <c r="E156" s="3">
        <v>1663</v>
      </c>
      <c r="F156" s="3">
        <v>4</v>
      </c>
      <c r="G156" s="3">
        <v>8</v>
      </c>
      <c r="H156" s="3">
        <v>1</v>
      </c>
      <c r="I156" s="3"/>
      <c r="J156" s="7"/>
    </row>
    <row r="157" spans="1:10" ht="15.75" customHeight="1" x14ac:dyDescent="0.3">
      <c r="A157" s="2" t="s">
        <v>8</v>
      </c>
      <c r="B157" s="3" t="s">
        <v>95</v>
      </c>
      <c r="C157" s="7" t="s">
        <v>198</v>
      </c>
      <c r="D157" s="3" t="s">
        <v>178</v>
      </c>
      <c r="E157" s="3">
        <v>2080</v>
      </c>
      <c r="F157" s="3">
        <v>5</v>
      </c>
      <c r="G157" s="3">
        <v>1</v>
      </c>
      <c r="H157" s="3">
        <v>3</v>
      </c>
      <c r="I157" s="3"/>
      <c r="J157" s="7"/>
    </row>
    <row r="158" spans="1:10" ht="15.75" customHeight="1" x14ac:dyDescent="0.3">
      <c r="A158" s="2" t="s">
        <v>8</v>
      </c>
      <c r="B158" s="3" t="s">
        <v>51</v>
      </c>
      <c r="C158" s="7" t="s">
        <v>198</v>
      </c>
      <c r="D158" s="3" t="s">
        <v>178</v>
      </c>
      <c r="E158" s="3">
        <v>124</v>
      </c>
      <c r="F158" s="3">
        <v>1</v>
      </c>
      <c r="G158" s="3">
        <v>27</v>
      </c>
      <c r="H158" s="3">
        <v>21</v>
      </c>
      <c r="I158" s="3"/>
      <c r="J158" s="7"/>
    </row>
    <row r="159" spans="1:10" ht="15.75" customHeight="1" x14ac:dyDescent="0.3">
      <c r="A159" s="2" t="s">
        <v>8</v>
      </c>
      <c r="B159" s="3" t="s">
        <v>54</v>
      </c>
      <c r="C159" s="7" t="s">
        <v>179</v>
      </c>
      <c r="D159" s="3" t="s">
        <v>203</v>
      </c>
      <c r="E159" s="3">
        <v>317</v>
      </c>
      <c r="F159" s="3">
        <v>2</v>
      </c>
      <c r="G159" s="3">
        <v>27</v>
      </c>
      <c r="H159" s="3"/>
      <c r="I159" s="3"/>
      <c r="J159" s="7"/>
    </row>
    <row r="160" spans="1:10" ht="15.75" customHeight="1" x14ac:dyDescent="0.3">
      <c r="A160" s="2" t="s">
        <v>8</v>
      </c>
      <c r="B160" s="3" t="s">
        <v>54</v>
      </c>
      <c r="C160" s="7" t="s">
        <v>198</v>
      </c>
      <c r="D160" s="3" t="s">
        <v>178</v>
      </c>
      <c r="E160" s="3">
        <v>4564</v>
      </c>
      <c r="F160" s="3">
        <v>5</v>
      </c>
      <c r="G160" s="3">
        <v>6</v>
      </c>
      <c r="H160" s="3">
        <v>6</v>
      </c>
      <c r="I160" s="3"/>
      <c r="J160" s="7"/>
    </row>
    <row r="161" spans="1:10" ht="15.75" customHeight="1" x14ac:dyDescent="0.3">
      <c r="A161" s="2" t="s">
        <v>8</v>
      </c>
      <c r="B161" s="3" t="s">
        <v>103</v>
      </c>
      <c r="C161" s="7" t="s">
        <v>202</v>
      </c>
      <c r="D161" s="3" t="s">
        <v>192</v>
      </c>
      <c r="E161" s="3">
        <v>150</v>
      </c>
      <c r="F161" s="3">
        <v>0</v>
      </c>
      <c r="G161" s="3">
        <v>12</v>
      </c>
      <c r="H161" s="3"/>
      <c r="I161" s="3"/>
      <c r="J161" s="7"/>
    </row>
    <row r="162" spans="1:10" ht="15.75" customHeight="1" x14ac:dyDescent="0.3">
      <c r="A162" s="2" t="s">
        <v>8</v>
      </c>
      <c r="B162" s="3" t="s">
        <v>105</v>
      </c>
      <c r="C162" s="7" t="s">
        <v>204</v>
      </c>
      <c r="D162" s="3" t="s">
        <v>178</v>
      </c>
      <c r="E162" s="3">
        <v>326</v>
      </c>
      <c r="F162" s="3">
        <v>1</v>
      </c>
      <c r="G162" s="3">
        <v>112</v>
      </c>
      <c r="H162" s="3">
        <v>23</v>
      </c>
      <c r="I162" s="3"/>
      <c r="J162" s="7" t="s">
        <v>205</v>
      </c>
    </row>
    <row r="163" spans="1:10" ht="15.75" customHeight="1" x14ac:dyDescent="0.3">
      <c r="A163" s="2" t="s">
        <v>8</v>
      </c>
      <c r="B163" s="3" t="s">
        <v>105</v>
      </c>
      <c r="C163" s="7" t="s">
        <v>206</v>
      </c>
      <c r="D163" s="3" t="s">
        <v>203</v>
      </c>
      <c r="E163" s="3">
        <v>489</v>
      </c>
      <c r="F163" s="3">
        <v>1</v>
      </c>
      <c r="G163" s="3">
        <v>16</v>
      </c>
      <c r="H163" s="3"/>
      <c r="I163" s="3"/>
      <c r="J163" s="7"/>
    </row>
    <row r="164" spans="1:10" ht="15.75" customHeight="1" x14ac:dyDescent="0.3">
      <c r="A164" s="2" t="s">
        <v>8</v>
      </c>
      <c r="B164" s="3" t="s">
        <v>58</v>
      </c>
      <c r="C164" s="7" t="s">
        <v>198</v>
      </c>
      <c r="D164" s="3" t="s">
        <v>178</v>
      </c>
      <c r="E164" s="3">
        <v>2178</v>
      </c>
      <c r="F164" s="3">
        <v>5</v>
      </c>
      <c r="G164" s="3">
        <v>11</v>
      </c>
      <c r="H164" s="3">
        <v>2</v>
      </c>
      <c r="I164" s="3"/>
      <c r="J164" s="7"/>
    </row>
    <row r="165" spans="1:10" ht="15.75" customHeight="1" x14ac:dyDescent="0.3">
      <c r="A165" s="2" t="s">
        <v>8</v>
      </c>
      <c r="B165" s="3" t="s">
        <v>58</v>
      </c>
      <c r="C165" s="7" t="s">
        <v>207</v>
      </c>
      <c r="D165" s="3" t="s">
        <v>178</v>
      </c>
      <c r="E165" s="3">
        <v>439</v>
      </c>
      <c r="F165" s="3">
        <v>9</v>
      </c>
      <c r="G165" s="3">
        <v>226</v>
      </c>
      <c r="H165" s="3">
        <v>117000</v>
      </c>
      <c r="I165" s="3"/>
      <c r="J165" s="7"/>
    </row>
    <row r="166" spans="1:10" ht="15.75" customHeight="1" x14ac:dyDescent="0.3">
      <c r="A166" s="2" t="s">
        <v>8</v>
      </c>
      <c r="B166" s="3" t="s">
        <v>58</v>
      </c>
      <c r="C166" s="7" t="s">
        <v>179</v>
      </c>
      <c r="D166" s="3" t="s">
        <v>178</v>
      </c>
      <c r="E166" s="3">
        <v>493</v>
      </c>
      <c r="F166" s="3">
        <v>6</v>
      </c>
      <c r="G166" s="3">
        <v>174</v>
      </c>
      <c r="H166" s="3">
        <v>27</v>
      </c>
      <c r="I166" s="3"/>
      <c r="J166" s="7"/>
    </row>
    <row r="167" spans="1:10" ht="15.75" customHeight="1" x14ac:dyDescent="0.3">
      <c r="A167" s="2" t="s">
        <v>8</v>
      </c>
      <c r="B167" s="3" t="s">
        <v>61</v>
      </c>
      <c r="C167" s="7" t="s">
        <v>198</v>
      </c>
      <c r="D167" s="3" t="s">
        <v>178</v>
      </c>
      <c r="E167" s="3">
        <v>2829</v>
      </c>
      <c r="F167" s="3">
        <v>3</v>
      </c>
      <c r="G167" s="3">
        <v>8</v>
      </c>
      <c r="H167" s="3">
        <v>2</v>
      </c>
      <c r="I167" s="3"/>
      <c r="J167" s="7"/>
    </row>
    <row r="168" spans="1:10" ht="15.75" customHeight="1" x14ac:dyDescent="0.3">
      <c r="A168" s="2" t="s">
        <v>8</v>
      </c>
      <c r="B168" s="3" t="s">
        <v>208</v>
      </c>
      <c r="C168" s="7" t="s">
        <v>198</v>
      </c>
      <c r="D168" s="3" t="s">
        <v>178</v>
      </c>
      <c r="E168" s="3">
        <v>5297</v>
      </c>
      <c r="F168" s="3">
        <v>3</v>
      </c>
      <c r="G168" s="3">
        <v>7</v>
      </c>
      <c r="H168" s="3">
        <v>8</v>
      </c>
      <c r="I168" s="3"/>
      <c r="J168" s="7"/>
    </row>
    <row r="169" spans="1:10" ht="15.75" customHeight="1" x14ac:dyDescent="0.3">
      <c r="A169" s="2" t="s">
        <v>8</v>
      </c>
      <c r="B169" s="3" t="s">
        <v>138</v>
      </c>
      <c r="C169" s="7" t="s">
        <v>209</v>
      </c>
      <c r="D169" s="3" t="s">
        <v>178</v>
      </c>
      <c r="E169" s="3">
        <v>704</v>
      </c>
      <c r="F169" s="3">
        <v>45</v>
      </c>
      <c r="G169" s="3">
        <v>148</v>
      </c>
      <c r="H169" s="3">
        <v>121000</v>
      </c>
      <c r="I169" s="3"/>
      <c r="J169" s="7"/>
    </row>
    <row r="170" spans="1:10" ht="15.75" customHeight="1" x14ac:dyDescent="0.3">
      <c r="A170" s="2" t="s">
        <v>8</v>
      </c>
      <c r="B170" s="3" t="s">
        <v>63</v>
      </c>
      <c r="C170" s="7" t="s">
        <v>210</v>
      </c>
      <c r="D170" s="3" t="s">
        <v>203</v>
      </c>
      <c r="E170" s="3">
        <v>202</v>
      </c>
      <c r="F170" s="3">
        <v>3</v>
      </c>
      <c r="G170" s="3">
        <v>21</v>
      </c>
      <c r="H170" s="3"/>
      <c r="I170" s="3"/>
      <c r="J170" s="7" t="s">
        <v>211</v>
      </c>
    </row>
    <row r="171" spans="1:10" ht="15.75" customHeight="1" x14ac:dyDescent="0.3">
      <c r="A171" s="2" t="s">
        <v>8</v>
      </c>
      <c r="B171" s="3" t="s">
        <v>66</v>
      </c>
      <c r="C171" s="7"/>
      <c r="D171" s="3"/>
      <c r="E171" s="3"/>
      <c r="F171" s="3"/>
      <c r="G171" s="3"/>
      <c r="H171" s="3"/>
      <c r="I171" s="3"/>
      <c r="J171" s="7"/>
    </row>
    <row r="172" spans="1:10" ht="15.75" customHeight="1" x14ac:dyDescent="0.3">
      <c r="A172" s="2" t="s">
        <v>8</v>
      </c>
      <c r="B172" s="3" t="s">
        <v>66</v>
      </c>
      <c r="C172" s="7" t="s">
        <v>198</v>
      </c>
      <c r="D172" s="3" t="s">
        <v>178</v>
      </c>
      <c r="E172" s="3">
        <v>8143</v>
      </c>
      <c r="F172" s="3">
        <v>13</v>
      </c>
      <c r="G172" s="3">
        <v>8</v>
      </c>
      <c r="H172" s="3">
        <v>8</v>
      </c>
      <c r="I172" s="3"/>
      <c r="J172" s="7"/>
    </row>
    <row r="173" spans="1:10" ht="15.75" customHeight="1" x14ac:dyDescent="0.3">
      <c r="A173" s="2" t="s">
        <v>8</v>
      </c>
      <c r="B173" s="3" t="s">
        <v>108</v>
      </c>
      <c r="C173" s="7" t="s">
        <v>198</v>
      </c>
      <c r="D173" s="3" t="s">
        <v>178</v>
      </c>
      <c r="E173" s="3">
        <v>14</v>
      </c>
      <c r="F173" s="3">
        <v>14</v>
      </c>
      <c r="G173" s="3">
        <v>5</v>
      </c>
      <c r="H173" s="3">
        <v>20</v>
      </c>
      <c r="I173" s="3"/>
      <c r="J173" s="7"/>
    </row>
    <row r="174" spans="1:10" ht="15.75" customHeight="1" x14ac:dyDescent="0.3">
      <c r="A174" s="2" t="s">
        <v>8</v>
      </c>
      <c r="B174" s="3" t="s">
        <v>212</v>
      </c>
      <c r="C174" s="7" t="s">
        <v>213</v>
      </c>
      <c r="D174" s="3" t="s">
        <v>178</v>
      </c>
      <c r="E174" s="3">
        <v>1117</v>
      </c>
      <c r="F174" s="3">
        <v>25</v>
      </c>
      <c r="G174" s="3">
        <v>76</v>
      </c>
      <c r="H174" s="3">
        <v>65000</v>
      </c>
      <c r="I174" s="3"/>
      <c r="J174" s="7"/>
    </row>
    <row r="175" spans="1:10" ht="15.75" customHeight="1" x14ac:dyDescent="0.3">
      <c r="A175" s="2" t="s">
        <v>8</v>
      </c>
      <c r="B175" s="3" t="s">
        <v>67</v>
      </c>
      <c r="C175" s="7" t="s">
        <v>198</v>
      </c>
      <c r="D175" s="3" t="s">
        <v>178</v>
      </c>
      <c r="E175" s="3">
        <v>15</v>
      </c>
      <c r="F175" s="3">
        <v>28</v>
      </c>
      <c r="G175" s="3">
        <v>39</v>
      </c>
      <c r="H175" s="3">
        <v>10</v>
      </c>
      <c r="I175" s="3"/>
      <c r="J175" s="7"/>
    </row>
    <row r="176" spans="1:10" ht="15.75" customHeight="1" x14ac:dyDescent="0.3">
      <c r="A176" s="2" t="s">
        <v>8</v>
      </c>
      <c r="B176" s="3" t="s">
        <v>171</v>
      </c>
      <c r="C176" s="7" t="s">
        <v>202</v>
      </c>
      <c r="D176" s="3" t="s">
        <v>178</v>
      </c>
      <c r="E176" s="3">
        <v>10</v>
      </c>
      <c r="F176" s="3">
        <v>54</v>
      </c>
      <c r="G176" s="3">
        <v>395</v>
      </c>
      <c r="H176" s="3">
        <v>18</v>
      </c>
      <c r="I176" s="3"/>
      <c r="J176" s="7"/>
    </row>
    <row r="177" spans="1:10" ht="15.75" customHeight="1" x14ac:dyDescent="0.3">
      <c r="A177" s="2" t="s">
        <v>8</v>
      </c>
      <c r="B177" s="3" t="s">
        <v>171</v>
      </c>
      <c r="C177" s="7" t="s">
        <v>214</v>
      </c>
      <c r="D177" s="3" t="s">
        <v>178</v>
      </c>
      <c r="E177" s="3">
        <v>405</v>
      </c>
      <c r="F177" s="3">
        <v>2</v>
      </c>
      <c r="G177" s="3">
        <v>109</v>
      </c>
      <c r="H177" s="3">
        <v>30</v>
      </c>
      <c r="I177" s="3"/>
      <c r="J177" s="7"/>
    </row>
    <row r="178" spans="1:10" ht="15.75" customHeight="1" x14ac:dyDescent="0.3">
      <c r="A178" s="2" t="s">
        <v>8</v>
      </c>
      <c r="B178" s="3" t="s">
        <v>74</v>
      </c>
      <c r="C178" s="7" t="s">
        <v>214</v>
      </c>
      <c r="D178" s="3" t="s">
        <v>178</v>
      </c>
      <c r="E178" s="3">
        <v>278</v>
      </c>
      <c r="F178" s="3">
        <v>2</v>
      </c>
      <c r="G178" s="3">
        <v>60</v>
      </c>
      <c r="H178" s="3">
        <v>23</v>
      </c>
      <c r="I178" s="3"/>
      <c r="J178" s="7"/>
    </row>
    <row r="179" spans="1:10" ht="15.75" customHeight="1" x14ac:dyDescent="0.3">
      <c r="A179" s="2" t="s">
        <v>8</v>
      </c>
      <c r="B179" s="3" t="s">
        <v>113</v>
      </c>
      <c r="C179" s="7" t="s">
        <v>214</v>
      </c>
      <c r="D179" s="3" t="s">
        <v>178</v>
      </c>
      <c r="E179" s="3">
        <v>316</v>
      </c>
      <c r="F179" s="3">
        <v>8</v>
      </c>
      <c r="G179" s="3">
        <v>130</v>
      </c>
      <c r="H179" s="3">
        <v>26</v>
      </c>
      <c r="I179" s="3"/>
      <c r="J179" s="7"/>
    </row>
    <row r="180" spans="1:10" ht="15.75" customHeight="1" x14ac:dyDescent="0.3">
      <c r="A180" s="2" t="s">
        <v>8</v>
      </c>
      <c r="B180" s="3" t="s">
        <v>215</v>
      </c>
      <c r="C180" s="7" t="s">
        <v>198</v>
      </c>
      <c r="D180" s="3" t="s">
        <v>178</v>
      </c>
      <c r="E180" s="3">
        <v>22</v>
      </c>
      <c r="F180" s="3">
        <v>33</v>
      </c>
      <c r="G180" s="3">
        <v>21</v>
      </c>
      <c r="H180" s="3">
        <v>11</v>
      </c>
      <c r="I180" s="3"/>
      <c r="J180" s="7"/>
    </row>
    <row r="181" spans="1:10" ht="15.75" customHeight="1" x14ac:dyDescent="0.3">
      <c r="A181" s="2" t="s">
        <v>8</v>
      </c>
      <c r="B181" s="3" t="s">
        <v>216</v>
      </c>
      <c r="C181" s="7" t="s">
        <v>217</v>
      </c>
      <c r="D181" s="3" t="s">
        <v>178</v>
      </c>
      <c r="E181" s="3">
        <v>1315</v>
      </c>
      <c r="F181" s="3">
        <v>3</v>
      </c>
      <c r="G181" s="3">
        <v>22</v>
      </c>
      <c r="H181" s="3">
        <v>1</v>
      </c>
      <c r="I181" s="3"/>
      <c r="J181" s="7"/>
    </row>
    <row r="182" spans="1:10" ht="15.75" customHeight="1" x14ac:dyDescent="0.3">
      <c r="A182" s="2" t="s">
        <v>8</v>
      </c>
      <c r="B182" s="3" t="s">
        <v>218</v>
      </c>
      <c r="C182" s="7" t="s">
        <v>198</v>
      </c>
      <c r="D182" s="3" t="s">
        <v>178</v>
      </c>
      <c r="E182" s="3">
        <v>2389</v>
      </c>
      <c r="F182" s="3">
        <v>27</v>
      </c>
      <c r="G182" s="3">
        <v>13</v>
      </c>
      <c r="H182" s="3">
        <v>94</v>
      </c>
      <c r="I182" s="3"/>
      <c r="J182" s="7"/>
    </row>
    <row r="183" spans="1:10" ht="15.75" customHeight="1" x14ac:dyDescent="0.3">
      <c r="A183" s="20" t="s">
        <v>9</v>
      </c>
      <c r="B183" s="21" t="s">
        <v>33</v>
      </c>
      <c r="C183" s="22" t="s">
        <v>219</v>
      </c>
      <c r="D183" s="21" t="s">
        <v>178</v>
      </c>
      <c r="E183" s="21">
        <v>5592</v>
      </c>
      <c r="F183" s="21">
        <v>6</v>
      </c>
      <c r="G183" s="21">
        <v>68</v>
      </c>
      <c r="H183" s="21">
        <v>1500000</v>
      </c>
      <c r="I183" s="21">
        <v>1</v>
      </c>
      <c r="J183" s="22" t="s">
        <v>220</v>
      </c>
    </row>
    <row r="184" spans="1:10" ht="15.75" customHeight="1" x14ac:dyDescent="0.3">
      <c r="A184" s="20" t="s">
        <v>9</v>
      </c>
      <c r="B184" s="21" t="s">
        <v>39</v>
      </c>
      <c r="C184" s="22" t="s">
        <v>219</v>
      </c>
      <c r="D184" s="21" t="s">
        <v>178</v>
      </c>
      <c r="E184" s="21">
        <v>6965</v>
      </c>
      <c r="F184" s="21">
        <v>3</v>
      </c>
      <c r="G184" s="21">
        <v>93</v>
      </c>
      <c r="H184" s="21">
        <v>1100000</v>
      </c>
      <c r="I184" s="21">
        <v>1</v>
      </c>
      <c r="J184" s="22" t="s">
        <v>221</v>
      </c>
    </row>
    <row r="185" spans="1:10" ht="15.75" customHeight="1" x14ac:dyDescent="0.3">
      <c r="A185" s="20" t="s">
        <v>9</v>
      </c>
      <c r="B185" s="21" t="s">
        <v>95</v>
      </c>
      <c r="C185" s="22" t="s">
        <v>79</v>
      </c>
      <c r="D185" s="21" t="s">
        <v>222</v>
      </c>
      <c r="E185" s="21">
        <v>49500</v>
      </c>
      <c r="F185" s="21">
        <v>5</v>
      </c>
      <c r="G185" s="21">
        <v>14</v>
      </c>
      <c r="H185" s="21"/>
      <c r="I185" s="21">
        <v>2</v>
      </c>
      <c r="J185" s="22" t="s">
        <v>221</v>
      </c>
    </row>
    <row r="186" spans="1:10" ht="15.75" customHeight="1" x14ac:dyDescent="0.3">
      <c r="A186" s="20" t="s">
        <v>9</v>
      </c>
      <c r="B186" s="21" t="s">
        <v>95</v>
      </c>
      <c r="C186" s="22" t="s">
        <v>223</v>
      </c>
      <c r="D186" s="21" t="s">
        <v>77</v>
      </c>
      <c r="E186" s="21">
        <v>171000</v>
      </c>
      <c r="F186" s="21">
        <v>6</v>
      </c>
      <c r="G186" s="21">
        <v>34</v>
      </c>
      <c r="H186" s="21">
        <v>1500000</v>
      </c>
      <c r="I186" s="21">
        <v>2</v>
      </c>
      <c r="J186" s="22" t="s">
        <v>224</v>
      </c>
    </row>
    <row r="187" spans="1:10" ht="15.75" customHeight="1" x14ac:dyDescent="0.3">
      <c r="A187" s="20" t="s">
        <v>9</v>
      </c>
      <c r="B187" s="21" t="s">
        <v>51</v>
      </c>
      <c r="C187" s="22" t="s">
        <v>225</v>
      </c>
      <c r="D187" s="21" t="s">
        <v>222</v>
      </c>
      <c r="E187" s="21">
        <v>45700</v>
      </c>
      <c r="F187" s="21">
        <v>9</v>
      </c>
      <c r="G187" s="21">
        <v>30</v>
      </c>
      <c r="H187" s="21"/>
      <c r="I187" s="21">
        <v>1</v>
      </c>
      <c r="J187" s="22" t="s">
        <v>38</v>
      </c>
    </row>
    <row r="188" spans="1:10" ht="15.75" customHeight="1" x14ac:dyDescent="0.3">
      <c r="A188" s="20" t="s">
        <v>9</v>
      </c>
      <c r="B188" s="21" t="s">
        <v>98</v>
      </c>
      <c r="C188" s="22" t="s">
        <v>226</v>
      </c>
      <c r="D188" s="21" t="s">
        <v>222</v>
      </c>
      <c r="E188" s="21">
        <v>39800</v>
      </c>
      <c r="F188" s="21">
        <v>7</v>
      </c>
      <c r="G188" s="21">
        <v>12</v>
      </c>
      <c r="H188" s="21"/>
      <c r="I188" s="21">
        <v>1</v>
      </c>
      <c r="J188" s="22" t="s">
        <v>227</v>
      </c>
    </row>
    <row r="189" spans="1:10" ht="15.75" customHeight="1" x14ac:dyDescent="0.3">
      <c r="A189" s="20" t="s">
        <v>9</v>
      </c>
      <c r="B189" s="21" t="s">
        <v>101</v>
      </c>
      <c r="C189" s="22" t="s">
        <v>228</v>
      </c>
      <c r="D189" s="21" t="s">
        <v>222</v>
      </c>
      <c r="E189" s="21">
        <v>41100</v>
      </c>
      <c r="F189" s="21">
        <v>6</v>
      </c>
      <c r="G189" s="21">
        <v>7</v>
      </c>
      <c r="H189" s="21"/>
      <c r="I189" s="21">
        <v>1</v>
      </c>
      <c r="J189" s="22" t="s">
        <v>229</v>
      </c>
    </row>
    <row r="190" spans="1:10" ht="15.75" customHeight="1" x14ac:dyDescent="0.3">
      <c r="A190" s="20" t="s">
        <v>9</v>
      </c>
      <c r="B190" s="21" t="s">
        <v>103</v>
      </c>
      <c r="C190" s="22" t="s">
        <v>230</v>
      </c>
      <c r="D190" s="21" t="s">
        <v>222</v>
      </c>
      <c r="E190" s="21">
        <v>139</v>
      </c>
      <c r="F190" s="21">
        <v>2</v>
      </c>
      <c r="G190" s="21">
        <v>15</v>
      </c>
      <c r="H190" s="21"/>
      <c r="I190" s="21">
        <v>1</v>
      </c>
      <c r="J190" s="22" t="s">
        <v>227</v>
      </c>
    </row>
    <row r="191" spans="1:10" ht="15.75" customHeight="1" x14ac:dyDescent="0.3">
      <c r="A191" s="20" t="s">
        <v>9</v>
      </c>
      <c r="B191" s="21" t="s">
        <v>56</v>
      </c>
      <c r="C191" s="22" t="s">
        <v>231</v>
      </c>
      <c r="D191" s="21" t="s">
        <v>222</v>
      </c>
      <c r="E191" s="21">
        <v>129</v>
      </c>
      <c r="F191" s="21">
        <v>6</v>
      </c>
      <c r="G191" s="21">
        <v>14</v>
      </c>
      <c r="H191" s="21"/>
      <c r="I191" s="21">
        <v>1</v>
      </c>
      <c r="J191" s="22" t="s">
        <v>38</v>
      </c>
    </row>
    <row r="192" spans="1:10" ht="15.75" customHeight="1" x14ac:dyDescent="0.3">
      <c r="A192" s="20" t="s">
        <v>9</v>
      </c>
      <c r="B192" s="21" t="s">
        <v>105</v>
      </c>
      <c r="C192" s="22" t="s">
        <v>226</v>
      </c>
      <c r="D192" s="21" t="s">
        <v>222</v>
      </c>
      <c r="E192" s="21">
        <v>64000</v>
      </c>
      <c r="F192" s="21">
        <v>10</v>
      </c>
      <c r="G192" s="21">
        <v>72</v>
      </c>
      <c r="H192" s="21"/>
      <c r="I192" s="21">
        <v>1</v>
      </c>
      <c r="J192" s="22" t="s">
        <v>227</v>
      </c>
    </row>
    <row r="193" spans="1:10" ht="15.75" customHeight="1" x14ac:dyDescent="0.3">
      <c r="A193" s="20" t="s">
        <v>9</v>
      </c>
      <c r="B193" s="21" t="s">
        <v>61</v>
      </c>
      <c r="C193" s="22" t="s">
        <v>185</v>
      </c>
      <c r="D193" s="21" t="s">
        <v>77</v>
      </c>
      <c r="E193" s="21">
        <v>50600</v>
      </c>
      <c r="F193" s="21">
        <v>1</v>
      </c>
      <c r="G193" s="21">
        <v>24</v>
      </c>
      <c r="H193" s="21">
        <v>951000</v>
      </c>
      <c r="I193" s="21">
        <v>1</v>
      </c>
      <c r="J193" s="22" t="s">
        <v>227</v>
      </c>
    </row>
    <row r="194" spans="1:10" ht="15.75" customHeight="1" x14ac:dyDescent="0.3">
      <c r="A194" s="20" t="s">
        <v>9</v>
      </c>
      <c r="B194" s="21" t="s">
        <v>138</v>
      </c>
      <c r="C194" s="22" t="s">
        <v>232</v>
      </c>
      <c r="D194" s="21" t="s">
        <v>178</v>
      </c>
      <c r="E194" s="21">
        <v>8695</v>
      </c>
      <c r="F194" s="21">
        <v>12</v>
      </c>
      <c r="G194" s="21">
        <v>21</v>
      </c>
      <c r="H194" s="21">
        <v>1600000</v>
      </c>
      <c r="I194" s="21">
        <v>1</v>
      </c>
      <c r="J194" s="22" t="s">
        <v>227</v>
      </c>
    </row>
    <row r="195" spans="1:10" ht="15.75" customHeight="1" x14ac:dyDescent="0.3">
      <c r="A195" s="20" t="s">
        <v>9</v>
      </c>
      <c r="B195" s="21" t="s">
        <v>141</v>
      </c>
      <c r="C195" s="22" t="s">
        <v>233</v>
      </c>
      <c r="D195" s="21" t="s">
        <v>178</v>
      </c>
      <c r="E195" s="21">
        <v>2824</v>
      </c>
      <c r="F195" s="21">
        <v>2</v>
      </c>
      <c r="G195" s="21">
        <v>33</v>
      </c>
      <c r="H195" s="21">
        <v>463000</v>
      </c>
      <c r="I195" s="21">
        <v>1</v>
      </c>
      <c r="J195" s="22" t="s">
        <v>234</v>
      </c>
    </row>
    <row r="196" spans="1:10" ht="15.75" customHeight="1" x14ac:dyDescent="0.3">
      <c r="A196" s="20" t="s">
        <v>9</v>
      </c>
      <c r="B196" s="21" t="s">
        <v>63</v>
      </c>
      <c r="C196" s="22" t="s">
        <v>235</v>
      </c>
      <c r="D196" s="21" t="s">
        <v>77</v>
      </c>
      <c r="E196" s="21">
        <v>102000</v>
      </c>
      <c r="F196" s="21">
        <v>2</v>
      </c>
      <c r="G196" s="21">
        <v>5</v>
      </c>
      <c r="H196" s="21">
        <v>844000</v>
      </c>
      <c r="I196" s="21">
        <v>1</v>
      </c>
      <c r="J196" s="22" t="s">
        <v>227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FOR INSTAGRAM</vt:lpstr>
      <vt:lpstr>PLANNER_INSTAGRAM</vt:lpstr>
      <vt:lpstr>DATA FOR FACEBOOK</vt:lpstr>
      <vt:lpstr>📋 All Companies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Arush Thakur</cp:lastModifiedBy>
  <cp:revision>0</cp:revision>
  <dcterms:created xsi:type="dcterms:W3CDTF">2026-05-06T10:10:00Z</dcterms:created>
  <dcterms:modified xsi:type="dcterms:W3CDTF">2026-05-11T12:53:31Z</dcterms:modified>
  <dc:language>en-US</dc:language>
</cp:coreProperties>
</file>