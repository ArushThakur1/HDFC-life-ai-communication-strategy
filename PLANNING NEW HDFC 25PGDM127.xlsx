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Panwar\Documents\"/>
    </mc:Choice>
  </mc:AlternateContent>
  <xr:revisionPtr revIDLastSave="0" documentId="13_ncr:1_{68048A3A-0156-4199-86AC-D0E396786C19}" xr6:coauthVersionLast="47" xr6:coauthVersionMax="47" xr10:uidLastSave="{00000000-0000-0000-0000-000000000000}"/>
  <bookViews>
    <workbookView xWindow="-108" yWindow="-108" windowWidth="23256" windowHeight="12456" activeTab="2" xr2:uid="{04162C76-3B33-44EB-B4C5-EB0BDAEB279F}"/>
  </bookViews>
  <sheets>
    <sheet name="Instagram April" sheetId="1" r:id="rId1"/>
    <sheet name="Facebook April" sheetId="3" r:id="rId2"/>
    <sheet name="Youtube april" sheetId="7" r:id="rId3"/>
    <sheet name="instagram may" sheetId="5" r:id="rId4"/>
    <sheet name="Facebook may" sheetId="6" r:id="rId5"/>
    <sheet name="HDFC Life planning facebook" sheetId="4" r:id="rId6"/>
    <sheet name="HDFC LIfe planning instagram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" i="7" l="1"/>
  <c r="L17" i="7"/>
  <c r="L18" i="7"/>
  <c r="L19" i="7"/>
  <c r="L20" i="7"/>
  <c r="L21" i="7"/>
  <c r="L22" i="7"/>
  <c r="L15" i="7"/>
  <c r="M16" i="5"/>
  <c r="M17" i="5"/>
  <c r="M18" i="5"/>
  <c r="M19" i="5"/>
  <c r="M20" i="5"/>
  <c r="M21" i="5"/>
  <c r="M22" i="5"/>
  <c r="M15" i="5"/>
  <c r="L16" i="5"/>
  <c r="L17" i="5"/>
  <c r="L18" i="5"/>
  <c r="L19" i="5"/>
  <c r="L20" i="5"/>
  <c r="L21" i="5"/>
  <c r="L22" i="5"/>
  <c r="L15" i="5"/>
  <c r="I10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31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55" i="5"/>
  <c r="O10" i="5"/>
  <c r="N10" i="5"/>
  <c r="H11" i="3"/>
  <c r="K23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L60" i="3"/>
  <c r="K15" i="3"/>
  <c r="H10" i="3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58" i="1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J15" i="3"/>
  <c r="P55" i="1"/>
  <c r="Q55" i="1"/>
  <c r="K56" i="1"/>
  <c r="Q10" i="1"/>
  <c r="P10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20" i="1"/>
  <c r="N21" i="1"/>
  <c r="N22" i="1"/>
  <c r="N23" i="1"/>
  <c r="N24" i="1"/>
  <c r="N25" i="1"/>
  <c r="N26" i="1"/>
  <c r="N19" i="1"/>
  <c r="M20" i="1"/>
  <c r="M21" i="1"/>
  <c r="M22" i="1"/>
  <c r="M23" i="1"/>
  <c r="M24" i="1"/>
  <c r="M25" i="1"/>
  <c r="M26" i="1"/>
  <c r="M19" i="1"/>
</calcChain>
</file>

<file path=xl/sharedStrings.xml><?xml version="1.0" encoding="utf-8"?>
<sst xmlns="http://schemas.openxmlformats.org/spreadsheetml/2006/main" count="1265" uniqueCount="351">
  <si>
    <t>Companies</t>
  </si>
  <si>
    <t>calender days</t>
  </si>
  <si>
    <t>Day and time</t>
  </si>
  <si>
    <t>Posted on</t>
  </si>
  <si>
    <t>current trends</t>
  </si>
  <si>
    <t>Specific Segments</t>
  </si>
  <si>
    <t>Values Based</t>
  </si>
  <si>
    <t>No of post</t>
  </si>
  <si>
    <t>Platform</t>
  </si>
  <si>
    <t>Format of post</t>
  </si>
  <si>
    <t>Social cause</t>
  </si>
  <si>
    <t>Product</t>
  </si>
  <si>
    <t>Kotak life</t>
  </si>
  <si>
    <t>1(world health day)</t>
  </si>
  <si>
    <t xml:space="preserve">7th apr </t>
  </si>
  <si>
    <t>6th apr</t>
  </si>
  <si>
    <t>4(IPL)</t>
  </si>
  <si>
    <t>1(retirement &amp;pre ret. planners)</t>
  </si>
  <si>
    <t>2(retirement planning , LTP,wealth creation peace of mind)</t>
  </si>
  <si>
    <t>instagram</t>
  </si>
  <si>
    <t>3 Reel ,4 post</t>
  </si>
  <si>
    <t>ICICI Prudential life</t>
  </si>
  <si>
    <t>3(WAAD , WHD , Baisakhi)</t>
  </si>
  <si>
    <t>2nd and 7th apr , 15 pr</t>
  </si>
  <si>
    <t>1st , 5th apr , 10 apr</t>
  </si>
  <si>
    <t>2(women enterpuners)</t>
  </si>
  <si>
    <t>6(Family security,financial protection,child future protection, smooth claim services )</t>
  </si>
  <si>
    <t xml:space="preserve">4 Reel , 6 Post </t>
  </si>
  <si>
    <t>2 (term insurance , Savings plan)</t>
  </si>
  <si>
    <t>Axis Max</t>
  </si>
  <si>
    <t>3(April fool , WHD , mahaveer jayanti)</t>
  </si>
  <si>
    <t>1st and 7th apr , 9th apr</t>
  </si>
  <si>
    <t xml:space="preserve">1st , 7th apr </t>
  </si>
  <si>
    <t>1(Parents with pre teen)</t>
  </si>
  <si>
    <t>6(financial protection ,POM , family security , LTP)</t>
  </si>
  <si>
    <t>1 Reel , 6 Post</t>
  </si>
  <si>
    <t>3(term insurance)</t>
  </si>
  <si>
    <t>SBI life</t>
  </si>
  <si>
    <t>5(Business owners,pre ret &amp; ret planners , married couples , newly promoted individual )</t>
  </si>
  <si>
    <t>8(financial protection ,POM , family security , LTP)</t>
  </si>
  <si>
    <t>7 Reel , 3 Post</t>
  </si>
  <si>
    <t>2(insurance plans with savings , life mitra support)</t>
  </si>
  <si>
    <t>General i</t>
  </si>
  <si>
    <t>4(April fool ,WHD,Ram navmi , mahaveer jayanti)</t>
  </si>
  <si>
    <t>1st,7th and 15th apr</t>
  </si>
  <si>
    <t>1st , 6th , 7th apr , 10th apr</t>
  </si>
  <si>
    <t>3(IPL)</t>
  </si>
  <si>
    <t>3(Parents,self employed,New job employees,ret and pre ret.)</t>
  </si>
  <si>
    <t>5(Wealth creation, LTP,financial protection ,POM,Goal based planning)</t>
  </si>
  <si>
    <t>4 Reel , 5 Post , 1 Carousel</t>
  </si>
  <si>
    <t>1(term insurance, retirement plan , savings , child ed)</t>
  </si>
  <si>
    <t>TATA AIA</t>
  </si>
  <si>
    <t>2 Reel</t>
  </si>
  <si>
    <t>ABC life in</t>
  </si>
  <si>
    <t>1(WHD)</t>
  </si>
  <si>
    <t>7th apr</t>
  </si>
  <si>
    <t>1(newly married couples)</t>
  </si>
  <si>
    <t>1(LTP,Financial protection)</t>
  </si>
  <si>
    <t xml:space="preserve">1 Reel </t>
  </si>
  <si>
    <t>1(savings plan)</t>
  </si>
  <si>
    <t>PNB metlife</t>
  </si>
  <si>
    <t>2(april fool anfd Ram navmi)</t>
  </si>
  <si>
    <t>1st and 15th apr</t>
  </si>
  <si>
    <t>1st and 6th apr</t>
  </si>
  <si>
    <t>2(convenient services, Financial protection)</t>
  </si>
  <si>
    <t>5 Post , 1 carousel</t>
  </si>
  <si>
    <t xml:space="preserve">Type of Content for 10 days </t>
  </si>
  <si>
    <t>Type of content</t>
  </si>
  <si>
    <t xml:space="preserve">TOTAL </t>
  </si>
  <si>
    <t>Average</t>
  </si>
  <si>
    <t>Value Based</t>
  </si>
  <si>
    <t>Product Based</t>
  </si>
  <si>
    <t>Informative Based</t>
  </si>
  <si>
    <t>Social media Calendar</t>
  </si>
  <si>
    <t>Current trends</t>
  </si>
  <si>
    <t>Engagement based</t>
  </si>
  <si>
    <t>Testimonial based</t>
  </si>
  <si>
    <t>Typeof content for next 20 days</t>
  </si>
  <si>
    <t>Post</t>
  </si>
  <si>
    <t>Reel</t>
  </si>
  <si>
    <t>4(baisakhi , easter, akshyatritya, labour day)</t>
  </si>
  <si>
    <t>12th , 20th ,29th ,30th</t>
  </si>
  <si>
    <t>9(IPL)</t>
  </si>
  <si>
    <t>2(pre ret. &amp; ret., Parents with teens)</t>
  </si>
  <si>
    <t>6(income replacement, goal based planning , convenient digital sevices)</t>
  </si>
  <si>
    <t>9 Post , 10 Reel</t>
  </si>
  <si>
    <t>2(Kotak E term, Kotak midcap advantage)</t>
  </si>
  <si>
    <t>2 ( easter , Earth day)</t>
  </si>
  <si>
    <t>19th , 22nd</t>
  </si>
  <si>
    <t>5(Family security,financial protection, smooth claim services )</t>
  </si>
  <si>
    <t>3 Post , 5 Reel</t>
  </si>
  <si>
    <t>1 (earth day)</t>
  </si>
  <si>
    <t>1(term insurance)</t>
  </si>
  <si>
    <t>2(baisakhi , earth day)</t>
  </si>
  <si>
    <t>12th , 21st</t>
  </si>
  <si>
    <t>3(parents with pre teen &amp; teens , Newly married couples)</t>
  </si>
  <si>
    <t>3(Child future protection , LTP , Family security , POM)</t>
  </si>
  <si>
    <t>3 Post , 6 Reel</t>
  </si>
  <si>
    <t>1(earth day)</t>
  </si>
  <si>
    <t>1(term plan)</t>
  </si>
  <si>
    <t>2(baisakhi,easter)</t>
  </si>
  <si>
    <t>13th,20th</t>
  </si>
  <si>
    <t>13(IPL)</t>
  </si>
  <si>
    <t>10(financial protection ,POM , family security , LTP , convenient digital ser.)</t>
  </si>
  <si>
    <t>5 Post , 4 Reel</t>
  </si>
  <si>
    <t>3(smart platina young achiever,smart future star, mitra support)</t>
  </si>
  <si>
    <t>5(baisakhi , Dhol , easter , earth day , akshyatritya)</t>
  </si>
  <si>
    <t>13th , 15th , 20th , 22th , 30th</t>
  </si>
  <si>
    <t>3( Couple,New parents , new employees)</t>
  </si>
  <si>
    <t>8(Child future protection , goal based planning ,wealth creation, family security,LTP)</t>
  </si>
  <si>
    <t xml:space="preserve">8 Post , 9 reel </t>
  </si>
  <si>
    <t>1( earth day)</t>
  </si>
  <si>
    <t>5(long term income plan , money back super plan , care plus plan)</t>
  </si>
  <si>
    <t>1(easter)</t>
  </si>
  <si>
    <t>20th</t>
  </si>
  <si>
    <t>1(IPL)</t>
  </si>
  <si>
    <t>4(Working Professionals, Pre-Retirement and Retirement Planners ,New Parents)</t>
  </si>
  <si>
    <t>4(Family Security,savings,Financial Protection,peace of mind)</t>
  </si>
  <si>
    <t>7Post , 7 Reel</t>
  </si>
  <si>
    <t>1(Newly  married couple)</t>
  </si>
  <si>
    <t>2(Family security , financial protection)</t>
  </si>
  <si>
    <t>0 Post , 2 reels</t>
  </si>
  <si>
    <t>1 ( term insurance)</t>
  </si>
  <si>
    <t>2(baisakhi , easter)</t>
  </si>
  <si>
    <t>14th , 20th</t>
  </si>
  <si>
    <t>1 (Ghibli art )</t>
  </si>
  <si>
    <t>2( parents with pre teens , women entraprenaurs)</t>
  </si>
  <si>
    <t>1( child future planning)</t>
  </si>
  <si>
    <t>5 Post , 3 reels</t>
  </si>
  <si>
    <t>2( esarth day , solar energy)</t>
  </si>
  <si>
    <t>2( child plan , insurance plan)</t>
  </si>
  <si>
    <t>Day</t>
  </si>
  <si>
    <t>Date</t>
  </si>
  <si>
    <t>Values</t>
  </si>
  <si>
    <t>Social media calender</t>
  </si>
  <si>
    <t xml:space="preserve">Social cause </t>
  </si>
  <si>
    <t>Product name</t>
  </si>
  <si>
    <t>no of post</t>
  </si>
  <si>
    <t>Wednesday</t>
  </si>
  <si>
    <t>Social media calender , value based</t>
  </si>
  <si>
    <t>Family security , financial protection</t>
  </si>
  <si>
    <t>April Fools</t>
  </si>
  <si>
    <t>Nil</t>
  </si>
  <si>
    <t>life insurance</t>
  </si>
  <si>
    <t>post</t>
  </si>
  <si>
    <t>Instagram</t>
  </si>
  <si>
    <t>Thursday</t>
  </si>
  <si>
    <t>Current trend (IPL) , value based</t>
  </si>
  <si>
    <t>Financial protection , POM</t>
  </si>
  <si>
    <t>Friday</t>
  </si>
  <si>
    <t>Current trend (IPL) , product based , engagement</t>
  </si>
  <si>
    <t xml:space="preserve">reel </t>
  </si>
  <si>
    <t>Saturday</t>
  </si>
  <si>
    <t>Sunday</t>
  </si>
  <si>
    <t>Monday</t>
  </si>
  <si>
    <t>informative , value based</t>
  </si>
  <si>
    <t>LTP, POM</t>
  </si>
  <si>
    <t>Tuesday</t>
  </si>
  <si>
    <t xml:space="preserve">Social media calender </t>
  </si>
  <si>
    <t>WHD</t>
  </si>
  <si>
    <t>Product based , value ( retirement &amp; pre retirement)</t>
  </si>
  <si>
    <t>Income replacement , financial security , POM</t>
  </si>
  <si>
    <t>smart pension plan</t>
  </si>
  <si>
    <t>women empowerment</t>
  </si>
  <si>
    <t xml:space="preserve">investment plan </t>
  </si>
  <si>
    <t>current trend</t>
  </si>
  <si>
    <t>Current trend</t>
  </si>
  <si>
    <t>social media calender</t>
  </si>
  <si>
    <t>Baisakhi</t>
  </si>
  <si>
    <t>Akshyatritya</t>
  </si>
  <si>
    <t>Earth Day</t>
  </si>
  <si>
    <t>Current trend , value based</t>
  </si>
  <si>
    <t>Financial protection , Family security</t>
  </si>
  <si>
    <t>Current trend , engagement</t>
  </si>
  <si>
    <t>Social media calender , Social cause</t>
  </si>
  <si>
    <t>future security , retirement planning , POM</t>
  </si>
  <si>
    <t>Retirement plan</t>
  </si>
  <si>
    <t>product based , engagement</t>
  </si>
  <si>
    <t>informative , engagement</t>
  </si>
  <si>
    <t>current trend , value based</t>
  </si>
  <si>
    <t>product based , value based</t>
  </si>
  <si>
    <t xml:space="preserve"> value based , product based</t>
  </si>
  <si>
    <t xml:space="preserve">Current trend </t>
  </si>
  <si>
    <t>convenient digital service</t>
  </si>
  <si>
    <t>smooth claim service</t>
  </si>
  <si>
    <t>term plan</t>
  </si>
  <si>
    <t>Family security , smooth claim services</t>
  </si>
  <si>
    <t>financial protection , LTP , wealth creation</t>
  </si>
  <si>
    <t>nil</t>
  </si>
  <si>
    <t>hdfc protection plan</t>
  </si>
  <si>
    <t>n il</t>
  </si>
  <si>
    <t>reel</t>
  </si>
  <si>
    <t>5(baisakhi , easter, akshyatritya, labour day , WHD)</t>
  </si>
  <si>
    <t>5(April fool , WHD ,Mahaveer jayanti ,baisakhi , earth day)</t>
  </si>
  <si>
    <t>REELS</t>
  </si>
  <si>
    <t>POST</t>
  </si>
  <si>
    <t>Average-</t>
  </si>
  <si>
    <t>Segment</t>
  </si>
  <si>
    <t>Type of Segments</t>
  </si>
  <si>
    <t>Axis Max Life</t>
  </si>
  <si>
    <t>ICICI Prudential</t>
  </si>
  <si>
    <t>Kotak Life</t>
  </si>
  <si>
    <t>SBI Life</t>
  </si>
  <si>
    <t>Tata AIA</t>
  </si>
  <si>
    <t>Round off</t>
  </si>
  <si>
    <t xml:space="preserve">1. Working Professionals  </t>
  </si>
  <si>
    <t xml:space="preserve">2. Couple  </t>
  </si>
  <si>
    <t xml:space="preserve">3. Mid to High Income People </t>
  </si>
  <si>
    <t xml:space="preserve">4. Parents with Pre-Teens </t>
  </si>
  <si>
    <t xml:space="preserve">5. Parents with Teens </t>
  </si>
  <si>
    <t xml:space="preserve">6. Parents with Adult Children </t>
  </si>
  <si>
    <t xml:space="preserve">7. Away from Home </t>
  </si>
  <si>
    <t xml:space="preserve">8. Newly Married Couples  </t>
  </si>
  <si>
    <t xml:space="preserve">9. Single Parents </t>
  </si>
  <si>
    <t xml:space="preserve">10. Pre-Retirement and Retirement Planner </t>
  </si>
  <si>
    <t xml:space="preserve">11. Newly Promoted Individuals  </t>
  </si>
  <si>
    <t xml:space="preserve">12. New Job Employees  </t>
  </si>
  <si>
    <t xml:space="preserve">13. Self-Employed and Business Owners </t>
  </si>
  <si>
    <t xml:space="preserve">14. Women Entrepreneurs  </t>
  </si>
  <si>
    <t xml:space="preserve">15. New Parents   </t>
  </si>
  <si>
    <t>16. All</t>
  </si>
  <si>
    <t>ABC</t>
  </si>
  <si>
    <t>Type of Values</t>
  </si>
  <si>
    <t>1. Financial Protection</t>
  </si>
  <si>
    <t>2. Tax Benefits</t>
  </si>
  <si>
    <t>3. Convenient Digital Services</t>
  </si>
  <si>
    <t>4. Smooth Claim Services</t>
  </si>
  <si>
    <t>5. Income Replacement</t>
  </si>
  <si>
    <t>6. Spouse Financial Protection</t>
  </si>
  <si>
    <t>7. Peace of Mind</t>
  </si>
  <si>
    <t>8. Goal-Based Planning</t>
  </si>
  <si>
    <t>9. Child Future Protection</t>
  </si>
  <si>
    <t>10. Education Planning</t>
  </si>
  <si>
    <t>11. Long-Term Protection</t>
  </si>
  <si>
    <t>12. Increased Financial Responsibility</t>
  </si>
  <si>
    <t>13. Family Security</t>
  </si>
  <si>
    <t>14. Retirement Planning</t>
  </si>
  <si>
    <t>15. Savings</t>
  </si>
  <si>
    <t>16. Wealth Creation</t>
  </si>
  <si>
    <t>Segments</t>
  </si>
  <si>
    <t>PNB</t>
  </si>
  <si>
    <t>Posted on sat</t>
  </si>
  <si>
    <t>Posted on sun</t>
  </si>
  <si>
    <t>Content on weekends</t>
  </si>
  <si>
    <t>3( social media calender , value based,current trend , product based)</t>
  </si>
  <si>
    <t>3(value based, info , social media calender)</t>
  </si>
  <si>
    <t>7( social media calender , current trend , value , product based)</t>
  </si>
  <si>
    <t>2(social media calender )</t>
  </si>
  <si>
    <t>3(current trend , engagement , info , value based , ssocial media cal.)</t>
  </si>
  <si>
    <t>1(informative)</t>
  </si>
  <si>
    <t>1(social media calender)</t>
  </si>
  <si>
    <t>4(current trend , engagement , info , value based , social media cal.)</t>
  </si>
  <si>
    <t>3(current trend  , info , value based )</t>
  </si>
  <si>
    <t xml:space="preserve">4(social media calender , info) </t>
  </si>
  <si>
    <t>3(social cause , social media calender)</t>
  </si>
  <si>
    <t>pre ret. , ret planners</t>
  </si>
  <si>
    <t>New job emplyees , working professionals , couples</t>
  </si>
  <si>
    <t>Parents with pre teens , teens &amp; adults</t>
  </si>
  <si>
    <t>Parents with pre teens , teens &amp; adults , mid to high income</t>
  </si>
  <si>
    <t>women entrepreneur , mid to high income , newly married</t>
  </si>
  <si>
    <t>9(April fool ,WHD,Ram navmi , mahaveer jayanti ,baisakhi , Dhol , easter , earth day , akshyatritya)</t>
  </si>
  <si>
    <t>6th ,12th , 20th ,29th ,30th</t>
  </si>
  <si>
    <t>1st , 6th , 7th apr , 10th ,13th , 15th , 20th , 22th , 30th</t>
  </si>
  <si>
    <t>Facebook</t>
  </si>
  <si>
    <t>4( WHD,Baisakhi, easter , Earth day)</t>
  </si>
  <si>
    <t>4(april fool ,  Ram navmi , baisakhi , easter)</t>
  </si>
  <si>
    <t xml:space="preserve"> 5th , 10th ,20th , 22nd</t>
  </si>
  <si>
    <t>7th , 14th</t>
  </si>
  <si>
    <t>1st , 6th,14th , 20th</t>
  </si>
  <si>
    <t>2(WHD ,baisakhi  )</t>
  </si>
  <si>
    <t>15(IPL)</t>
  </si>
  <si>
    <t>1st , 7th ,9th ,12th , 21st</t>
  </si>
  <si>
    <t>6(IPL)</t>
  </si>
  <si>
    <t>4(women entrepreneurs ,mid to high  inc , pre ret. &amp; ret. Planners,Parents)</t>
  </si>
  <si>
    <t>4(parents with pre teen &amp; teens , Newly married couples , mid to high inc. )</t>
  </si>
  <si>
    <t>6(mid yo high inc. ,Business owners,pre ret &amp; ret planners , married couples , newly promoted individual )</t>
  </si>
  <si>
    <t>13 Post , 11 Reel</t>
  </si>
  <si>
    <t>11 Post , 9 Reel</t>
  </si>
  <si>
    <t>7 Post , 15 Reel</t>
  </si>
  <si>
    <t xml:space="preserve">14 Post , 13 reel </t>
  </si>
  <si>
    <t xml:space="preserve">7Post </t>
  </si>
  <si>
    <t>23 Post , 1 reels</t>
  </si>
  <si>
    <t>4( esarth day,s , solar energy, cyber security)</t>
  </si>
  <si>
    <t>8Post , 6 Reel</t>
  </si>
  <si>
    <t>2(social media calender, value based )</t>
  </si>
  <si>
    <t>2(value based, info , social media calender)</t>
  </si>
  <si>
    <t>7( social media calender , current trend)</t>
  </si>
  <si>
    <t>6(social media calender,infomative, social media cal,value based,product based)</t>
  </si>
  <si>
    <t>Type of segments</t>
  </si>
  <si>
    <t>Type of values</t>
  </si>
  <si>
    <t>Content on weekend</t>
  </si>
  <si>
    <t>4(mothers day , international family day, mental health awareness month, world no tobacco day)</t>
  </si>
  <si>
    <t>(10th,15th, 23rd, 31st)</t>
  </si>
  <si>
    <t>10(IPL)</t>
  </si>
  <si>
    <t>product based post</t>
  </si>
  <si>
    <t>Products</t>
  </si>
  <si>
    <t>3(mothers day , international family day)</t>
  </si>
  <si>
    <t>(10th,15th)</t>
  </si>
  <si>
    <t>7 reels , 5 post</t>
  </si>
  <si>
    <t>15 reels , 8 post</t>
  </si>
  <si>
    <t>4( labour day , mothers day, international family day )</t>
  </si>
  <si>
    <t>(1st, 9th ,14th)</t>
  </si>
  <si>
    <t>1( cricket )</t>
  </si>
  <si>
    <t>5 reel, 9 post</t>
  </si>
  <si>
    <t>4(mothers day )</t>
  </si>
  <si>
    <t>7(IPL)</t>
  </si>
  <si>
    <t>12 reel</t>
  </si>
  <si>
    <t>7(world labour day , mothers day, budh poornima, international family day, world hyper-tension day, no tobacco day)</t>
  </si>
  <si>
    <t>(10th, 10th, 14th , 15th )</t>
  </si>
  <si>
    <t>(1st, 10th, 11th, 12th, 15th, 17th, 31st)</t>
  </si>
  <si>
    <t>13 reel, 8 post</t>
  </si>
  <si>
    <t>3(labour day , mothers day, international family day)</t>
  </si>
  <si>
    <t>(1st, 11th , 15th )</t>
  </si>
  <si>
    <t>5(IPL)</t>
  </si>
  <si>
    <t>1(mothers day)</t>
  </si>
  <si>
    <t>(11th)</t>
  </si>
  <si>
    <t>1 reel , 6 post</t>
  </si>
  <si>
    <t>(term plan , life insurance )</t>
  </si>
  <si>
    <t>5(labours day , armour day , laughter day , mothers day , family day)</t>
  </si>
  <si>
    <t>(1st,4th,11th,15th)</t>
  </si>
  <si>
    <t>5 reel, 11 post</t>
  </si>
  <si>
    <t>(term insurance , met life 360 health plan , metlife grow plan)</t>
  </si>
  <si>
    <t>(assured ed plan, long term income plan , life time partner plan)</t>
  </si>
  <si>
    <t>(term plan)</t>
  </si>
  <si>
    <t>(bharat bill pay , I protect smart plan)</t>
  </si>
  <si>
    <t xml:space="preserve">(kotak e-term, gen2gen protect, retirement plan, critical illness hausla) </t>
  </si>
  <si>
    <t>13 reel , 14 post</t>
  </si>
  <si>
    <t>8(current trend, SMC, testimonial, product based, social cause)</t>
  </si>
  <si>
    <t>2(SMC)</t>
  </si>
  <si>
    <t>3(engagement , current trend,SMC,value based )</t>
  </si>
  <si>
    <t>1(engagement , current trent , informative)</t>
  </si>
  <si>
    <t>4(SMC,value based)</t>
  </si>
  <si>
    <t>1(current trend)</t>
  </si>
  <si>
    <t>1(SMC,testimonial)</t>
  </si>
  <si>
    <t>1(value based , product based)</t>
  </si>
  <si>
    <t>2(informative, value bsed, product based)</t>
  </si>
  <si>
    <t>3(SMC, value based, engagement)</t>
  </si>
  <si>
    <t>1(value based , calender based)</t>
  </si>
  <si>
    <t>3(value based , product based , engagement)</t>
  </si>
  <si>
    <t>youtube</t>
  </si>
  <si>
    <t>video</t>
  </si>
  <si>
    <t>1(gen2gen protection)</t>
  </si>
  <si>
    <t>5th</t>
  </si>
  <si>
    <t xml:space="preserve">all parents </t>
  </si>
  <si>
    <t>all parents, working professional</t>
  </si>
  <si>
    <t>2(term plan, life insurance)</t>
  </si>
  <si>
    <t>couples</t>
  </si>
  <si>
    <t>2(term plan)</t>
  </si>
  <si>
    <t>mass market</t>
  </si>
  <si>
    <t>working professional</t>
  </si>
  <si>
    <t>1(life insurance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</si>
</sst>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5"/>
      <color theme="1"/>
      <name val="Calibri"/>
      <family val="2"/>
    </font>
    <font>
      <b/>
      <sz val="15"/>
      <color rgb="FFFFFFFF"/>
      <name val="Arial"/>
      <family val="2"/>
    </font>
    <font>
      <b/>
      <sz val="15"/>
      <color rgb="FF000000"/>
      <name val="Arial"/>
      <family val="2"/>
    </font>
    <font>
      <b/>
      <sz val="20"/>
      <color rgb="FF000000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Calibri"/>
      <family val="2"/>
      <charset val="1"/>
    </font>
    <font>
      <b/>
      <shadow/>
      <sz val="12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hadow/>
      <sz val="20"/>
      <color rgb="FF000000"/>
      <name val="Calibri"/>
      <family val="2"/>
    </font>
    <font>
      <b/>
      <shadow/>
      <sz val="18"/>
      <color rgb="FF000000"/>
      <name val="Calibri"/>
      <family val="2"/>
    </font>
    <font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FDC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F3864"/>
        <bgColor rgb="FF2F4F4F"/>
      </patternFill>
    </fill>
    <fill>
      <patternFill patternType="solid">
        <fgColor rgb="FFE2EFDA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2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0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1" xfId="0" applyFill="1" applyBorder="1"/>
    <xf numFmtId="0" fontId="10" fillId="0" borderId="0" xfId="0" applyFont="1"/>
    <xf numFmtId="0" fontId="5" fillId="12" borderId="5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6" fillId="10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14" borderId="5" xfId="0" applyFont="1" applyFill="1" applyBorder="1"/>
    <xf numFmtId="164" fontId="9" fillId="14" borderId="5" xfId="0" applyNumberFormat="1" applyFont="1" applyFill="1" applyBorder="1" applyAlignment="1">
      <alignment horizontal="center"/>
    </xf>
    <xf numFmtId="0" fontId="11" fillId="0" borderId="5" xfId="0" applyFont="1" applyBorder="1"/>
    <xf numFmtId="0" fontId="14" fillId="11" borderId="0" xfId="0" applyFont="1" applyFill="1"/>
    <xf numFmtId="0" fontId="0" fillId="11" borderId="0" xfId="0" applyFill="1"/>
    <xf numFmtId="0" fontId="13" fillId="3" borderId="5" xfId="0" applyFont="1" applyFill="1" applyBorder="1"/>
    <xf numFmtId="0" fontId="11" fillId="3" borderId="5" xfId="0" applyFont="1" applyFill="1" applyBorder="1"/>
    <xf numFmtId="0" fontId="11" fillId="3" borderId="5" xfId="0" applyFont="1" applyFill="1" applyBorder="1" applyAlignment="1">
      <alignment horizontal="center"/>
    </xf>
    <xf numFmtId="0" fontId="3" fillId="16" borderId="5" xfId="0" applyFont="1" applyFill="1" applyBorder="1"/>
    <xf numFmtId="0" fontId="0" fillId="4" borderId="5" xfId="0" applyFill="1" applyBorder="1"/>
    <xf numFmtId="14" fontId="0" fillId="4" borderId="5" xfId="0" applyNumberFormat="1" applyFill="1" applyBorder="1"/>
    <xf numFmtId="0" fontId="0" fillId="15" borderId="5" xfId="0" applyFill="1" applyBorder="1"/>
    <xf numFmtId="14" fontId="0" fillId="15" borderId="5" xfId="0" applyNumberFormat="1" applyFill="1" applyBorder="1"/>
    <xf numFmtId="0" fontId="0" fillId="15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3" fillId="16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/>
    <xf numFmtId="164" fontId="9" fillId="5" borderId="5" xfId="0" applyNumberFormat="1" applyFont="1" applyFill="1" applyBorder="1" applyAlignment="1">
      <alignment horizontal="center"/>
    </xf>
    <xf numFmtId="0" fontId="11" fillId="5" borderId="5" xfId="0" applyFont="1" applyFill="1" applyBorder="1"/>
    <xf numFmtId="0" fontId="7" fillId="10" borderId="6" xfId="0" applyFont="1" applyFill="1" applyBorder="1" applyAlignment="1">
      <alignment horizontal="center" vertical="center" wrapText="1"/>
    </xf>
    <xf numFmtId="0" fontId="11" fillId="5" borderId="6" xfId="0" applyFont="1" applyFill="1" applyBorder="1"/>
    <xf numFmtId="0" fontId="9" fillId="0" borderId="0" xfId="1" applyFont="1" applyAlignment="1">
      <alignment horizontal="center"/>
    </xf>
    <xf numFmtId="0" fontId="5" fillId="12" borderId="5" xfId="1" applyFont="1" applyFill="1" applyBorder="1" applyAlignment="1">
      <alignment horizontal="center" vertical="center" wrapText="1"/>
    </xf>
    <xf numFmtId="0" fontId="8" fillId="20" borderId="5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18" fillId="0" borderId="5" xfId="1" applyFont="1" applyBorder="1"/>
    <xf numFmtId="0" fontId="9" fillId="0" borderId="5" xfId="1" applyFont="1" applyBorder="1" applyAlignment="1">
      <alignment horizontal="center"/>
    </xf>
    <xf numFmtId="0" fontId="9" fillId="0" borderId="5" xfId="1" applyFont="1" applyBorder="1" applyAlignment="1">
      <alignment horizontal="center" vertical="center"/>
    </xf>
    <xf numFmtId="164" fontId="9" fillId="0" borderId="5" xfId="1" applyNumberFormat="1" applyFont="1" applyBorder="1" applyAlignment="1">
      <alignment horizontal="center"/>
    </xf>
    <xf numFmtId="0" fontId="18" fillId="0" borderId="5" xfId="1" applyFont="1" applyBorder="1" applyAlignment="1">
      <alignment horizontal="left" vertical="center"/>
    </xf>
    <xf numFmtId="0" fontId="18" fillId="14" borderId="5" xfId="1" applyFont="1" applyFill="1" applyBorder="1"/>
    <xf numFmtId="0" fontId="17" fillId="0" borderId="5" xfId="1" applyFont="1" applyBorder="1" applyAlignment="1">
      <alignment horizontal="left" vertical="center"/>
    </xf>
    <xf numFmtId="0" fontId="7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/>
    </xf>
    <xf numFmtId="0" fontId="16" fillId="0" borderId="5" xfId="1" applyFont="1" applyBorder="1" applyAlignment="1">
      <alignment horizontal="center" vertical="center"/>
    </xf>
    <xf numFmtId="164" fontId="16" fillId="0" borderId="5" xfId="1" applyNumberFormat="1" applyFont="1" applyBorder="1" applyAlignment="1">
      <alignment horizontal="center"/>
    </xf>
    <xf numFmtId="0" fontId="17" fillId="0" borderId="5" xfId="1" applyFont="1" applyBorder="1" applyAlignment="1">
      <alignment horizontal="left" vertical="center" wrapText="1"/>
    </xf>
    <xf numFmtId="0" fontId="20" fillId="17" borderId="0" xfId="0" applyFont="1" applyFill="1" applyAlignment="1">
      <alignment horizontal="center"/>
    </xf>
    <xf numFmtId="0" fontId="0" fillId="14" borderId="0" xfId="0" applyFill="1"/>
    <xf numFmtId="0" fontId="21" fillId="17" borderId="0" xfId="0" applyFont="1" applyFill="1" applyAlignment="1">
      <alignment horizontal="center"/>
    </xf>
    <xf numFmtId="0" fontId="21" fillId="2" borderId="5" xfId="0" applyFont="1" applyFill="1" applyBorder="1"/>
    <xf numFmtId="0" fontId="21" fillId="2" borderId="5" xfId="0" applyFont="1" applyFill="1" applyBorder="1" applyAlignment="1">
      <alignment horizontal="center"/>
    </xf>
    <xf numFmtId="0" fontId="22" fillId="2" borderId="5" xfId="0" applyFont="1" applyFill="1" applyBorder="1"/>
    <xf numFmtId="0" fontId="19" fillId="3" borderId="5" xfId="0" applyFont="1" applyFill="1" applyBorder="1"/>
    <xf numFmtId="0" fontId="9" fillId="15" borderId="5" xfId="1" applyFont="1" applyFill="1" applyBorder="1" applyAlignment="1">
      <alignment horizontal="center"/>
    </xf>
    <xf numFmtId="0" fontId="14" fillId="21" borderId="0" xfId="0" applyFont="1" applyFill="1" applyAlignment="1">
      <alignment horizontal="center"/>
    </xf>
    <xf numFmtId="0" fontId="20" fillId="14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0" fontId="0" fillId="22" borderId="0" xfId="0" applyFill="1"/>
    <xf numFmtId="0" fontId="14" fillId="10" borderId="5" xfId="0" applyFont="1" applyFill="1" applyBorder="1" applyAlignment="1">
      <alignment horizontal="center" vertical="center"/>
    </xf>
    <xf numFmtId="0" fontId="21" fillId="0" borderId="5" xfId="0" applyFont="1" applyBorder="1"/>
    <xf numFmtId="0" fontId="11" fillId="0" borderId="7" xfId="0" applyFont="1" applyBorder="1"/>
    <xf numFmtId="0" fontId="4" fillId="11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2" fillId="2" borderId="5" xfId="0" applyFont="1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17" borderId="5" xfId="0" applyFill="1" applyBorder="1"/>
    <xf numFmtId="0" fontId="0" fillId="0" borderId="5" xfId="0" applyBorder="1"/>
    <xf numFmtId="0" fontId="23" fillId="13" borderId="5" xfId="0" applyFont="1" applyFill="1" applyBorder="1" applyAlignment="1">
      <alignment horizontal="center" vertical="center" wrapText="1"/>
    </xf>
    <xf numFmtId="0" fontId="6" fillId="14" borderId="0" xfId="0" applyFont="1" applyFill="1" applyBorder="1" applyAlignment="1">
      <alignment horizontal="center" vertical="center" wrapText="1"/>
    </xf>
    <xf numFmtId="0" fontId="7" fillId="14" borderId="0" xfId="0" applyFont="1" applyFill="1" applyBorder="1" applyAlignment="1">
      <alignment horizontal="center" vertical="center" wrapText="1"/>
    </xf>
    <xf numFmtId="0" fontId="14" fillId="16" borderId="0" xfId="0" applyFont="1" applyFill="1"/>
    <xf numFmtId="0" fontId="0" fillId="16" borderId="0" xfId="0" applyFill="1"/>
    <xf numFmtId="0" fontId="21" fillId="16" borderId="0" xfId="0" applyFont="1" applyFill="1"/>
    <xf numFmtId="0" fontId="0" fillId="0" borderId="7" xfId="0" applyFill="1" applyBorder="1"/>
    <xf numFmtId="0" fontId="0" fillId="15" borderId="7" xfId="0" applyFill="1" applyBorder="1" applyAlignment="1">
      <alignment horizontal="center"/>
    </xf>
    <xf numFmtId="0" fontId="22" fillId="2" borderId="0" xfId="0" applyFont="1" applyFill="1" applyBorder="1"/>
    <xf numFmtId="0" fontId="0" fillId="0" borderId="0" xfId="0" applyBorder="1"/>
    <xf numFmtId="0" fontId="2" fillId="2" borderId="6" xfId="0" applyFont="1" applyFill="1" applyBorder="1"/>
    <xf numFmtId="0" fontId="0" fillId="0" borderId="6" xfId="0" applyBorder="1"/>
    <xf numFmtId="0" fontId="2" fillId="14" borderId="0" xfId="0" applyFont="1" applyFill="1" applyBorder="1"/>
  </cellXfs>
  <cellStyles count="2">
    <cellStyle name="Normal" xfId="0" builtinId="0"/>
    <cellStyle name="Normal 2" xfId="1" xr:uid="{3AFF9580-5B73-46F8-93F8-219DDA78CED7}"/>
  </cellStyles>
  <dxfs count="0"/>
  <tableStyles count="0" defaultTableStyle="TableStyleMedium2" defaultPivotStyle="PivotStyleLight16"/>
  <colors>
    <mruColors>
      <color rgb="FFEFFD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1D32-61A1-454D-9282-5ABFCFACEBD9}">
  <dimension ref="A1:Q110"/>
  <sheetViews>
    <sheetView topLeftCell="A3" zoomScale="45" zoomScaleNormal="40" workbookViewId="0">
      <selection activeCell="A81" sqref="A81:A96"/>
    </sheetView>
  </sheetViews>
  <sheetFormatPr defaultRowHeight="14.4" x14ac:dyDescent="0.3"/>
  <cols>
    <col min="1" max="1" width="65.77734375" bestFit="1" customWidth="1"/>
    <col min="2" max="2" width="115.77734375" bestFit="1" customWidth="1"/>
    <col min="3" max="3" width="116.6640625" bestFit="1" customWidth="1"/>
    <col min="4" max="4" width="26.44140625" customWidth="1"/>
    <col min="5" max="5" width="59.33203125" bestFit="1" customWidth="1"/>
    <col min="6" max="6" width="14.44140625" bestFit="1" customWidth="1"/>
    <col min="7" max="8" width="14.44140625" customWidth="1"/>
    <col min="9" max="9" width="74" bestFit="1" customWidth="1"/>
    <col min="10" max="10" width="72" bestFit="1" customWidth="1"/>
    <col min="11" max="11" width="15.44140625" bestFit="1" customWidth="1"/>
    <col min="12" max="12" width="9.109375" bestFit="1" customWidth="1"/>
    <col min="13" max="13" width="23" bestFit="1" customWidth="1"/>
    <col min="14" max="14" width="24.44140625" bestFit="1" customWidth="1"/>
    <col min="15" max="15" width="55.33203125" bestFit="1" customWidth="1"/>
  </cols>
  <sheetData>
    <row r="1" spans="1:17" ht="15.6" x14ac:dyDescent="0.3">
      <c r="A1" s="80" t="s">
        <v>0</v>
      </c>
      <c r="B1" s="81" t="s">
        <v>1</v>
      </c>
      <c r="C1" s="81" t="s">
        <v>2</v>
      </c>
      <c r="D1" s="81"/>
      <c r="E1" s="81" t="s">
        <v>3</v>
      </c>
      <c r="F1" s="81" t="s">
        <v>4</v>
      </c>
      <c r="G1" s="81"/>
      <c r="H1" s="81"/>
      <c r="I1" s="81" t="s">
        <v>5</v>
      </c>
      <c r="J1" s="81" t="s">
        <v>6</v>
      </c>
      <c r="K1" s="81" t="s">
        <v>7</v>
      </c>
      <c r="L1" s="81" t="s">
        <v>8</v>
      </c>
      <c r="M1" s="81" t="s">
        <v>9</v>
      </c>
      <c r="N1" s="81" t="s">
        <v>10</v>
      </c>
      <c r="O1" s="81" t="s">
        <v>11</v>
      </c>
      <c r="P1" s="81" t="s">
        <v>194</v>
      </c>
      <c r="Q1" s="81" t="s">
        <v>195</v>
      </c>
    </row>
    <row r="2" spans="1:17" x14ac:dyDescent="0.3">
      <c r="A2" s="12" t="s">
        <v>12</v>
      </c>
      <c r="B2" s="29" t="s">
        <v>13</v>
      </c>
      <c r="C2" s="82" t="s">
        <v>14</v>
      </c>
      <c r="D2" s="82"/>
      <c r="E2" s="83" t="s">
        <v>15</v>
      </c>
      <c r="F2" s="84" t="s">
        <v>16</v>
      </c>
      <c r="G2" s="84"/>
      <c r="H2" s="84"/>
      <c r="I2" s="85" t="s">
        <v>17</v>
      </c>
      <c r="J2" s="12" t="s">
        <v>18</v>
      </c>
      <c r="K2" s="86">
        <v>7</v>
      </c>
      <c r="L2" s="87" t="s">
        <v>19</v>
      </c>
      <c r="M2" s="87" t="s">
        <v>20</v>
      </c>
      <c r="N2" s="82">
        <v>0</v>
      </c>
      <c r="O2" s="12">
        <v>0</v>
      </c>
      <c r="P2" s="88">
        <v>3</v>
      </c>
      <c r="Q2" s="88">
        <v>4</v>
      </c>
    </row>
    <row r="3" spans="1:17" x14ac:dyDescent="0.3">
      <c r="A3" s="12" t="s">
        <v>21</v>
      </c>
      <c r="B3" s="29" t="s">
        <v>22</v>
      </c>
      <c r="C3" s="82" t="s">
        <v>23</v>
      </c>
      <c r="D3" s="82"/>
      <c r="E3" s="83" t="s">
        <v>24</v>
      </c>
      <c r="F3" s="84">
        <v>0</v>
      </c>
      <c r="G3" s="84"/>
      <c r="H3" s="84"/>
      <c r="I3" s="85" t="s">
        <v>25</v>
      </c>
      <c r="J3" s="12" t="s">
        <v>26</v>
      </c>
      <c r="K3" s="86">
        <v>10</v>
      </c>
      <c r="L3" s="87" t="s">
        <v>19</v>
      </c>
      <c r="M3" s="87" t="s">
        <v>27</v>
      </c>
      <c r="N3" s="82">
        <v>0</v>
      </c>
      <c r="O3" s="12" t="s">
        <v>28</v>
      </c>
      <c r="P3" s="88">
        <v>4</v>
      </c>
      <c r="Q3" s="88">
        <v>6</v>
      </c>
    </row>
    <row r="4" spans="1:17" x14ac:dyDescent="0.3">
      <c r="A4" s="12" t="s">
        <v>29</v>
      </c>
      <c r="B4" s="29" t="s">
        <v>30</v>
      </c>
      <c r="C4" s="82" t="s">
        <v>31</v>
      </c>
      <c r="D4" s="82"/>
      <c r="E4" s="83" t="s">
        <v>32</v>
      </c>
      <c r="F4" s="84">
        <v>0</v>
      </c>
      <c r="G4" s="84"/>
      <c r="H4" s="84"/>
      <c r="I4" s="85" t="s">
        <v>33</v>
      </c>
      <c r="J4" s="12" t="s">
        <v>34</v>
      </c>
      <c r="K4" s="86">
        <v>7</v>
      </c>
      <c r="L4" s="87" t="s">
        <v>19</v>
      </c>
      <c r="M4" s="87" t="s">
        <v>35</v>
      </c>
      <c r="N4" s="82">
        <v>0</v>
      </c>
      <c r="O4" s="12" t="s">
        <v>36</v>
      </c>
      <c r="P4" s="88">
        <v>1</v>
      </c>
      <c r="Q4" s="88">
        <v>6</v>
      </c>
    </row>
    <row r="5" spans="1:17" x14ac:dyDescent="0.3">
      <c r="A5" s="12" t="s">
        <v>37</v>
      </c>
      <c r="B5" s="29">
        <v>0</v>
      </c>
      <c r="C5" s="82"/>
      <c r="D5" s="82"/>
      <c r="E5" s="83"/>
      <c r="F5" s="84" t="s">
        <v>16</v>
      </c>
      <c r="G5" s="84"/>
      <c r="H5" s="84"/>
      <c r="I5" s="85" t="s">
        <v>38</v>
      </c>
      <c r="J5" s="12" t="s">
        <v>39</v>
      </c>
      <c r="K5" s="86">
        <v>10</v>
      </c>
      <c r="L5" s="87" t="s">
        <v>19</v>
      </c>
      <c r="M5" s="87" t="s">
        <v>40</v>
      </c>
      <c r="N5" s="82">
        <v>1</v>
      </c>
      <c r="O5" s="12" t="s">
        <v>41</v>
      </c>
      <c r="P5" s="88">
        <v>7</v>
      </c>
      <c r="Q5" s="88">
        <v>3</v>
      </c>
    </row>
    <row r="6" spans="1:17" x14ac:dyDescent="0.3">
      <c r="A6" s="12" t="s">
        <v>42</v>
      </c>
      <c r="B6" s="29" t="s">
        <v>43</v>
      </c>
      <c r="C6" s="82" t="s">
        <v>44</v>
      </c>
      <c r="D6" s="82"/>
      <c r="E6" s="83" t="s">
        <v>45</v>
      </c>
      <c r="F6" s="84" t="s">
        <v>46</v>
      </c>
      <c r="G6" s="84"/>
      <c r="H6" s="84"/>
      <c r="I6" s="85" t="s">
        <v>47</v>
      </c>
      <c r="J6" s="12" t="s">
        <v>48</v>
      </c>
      <c r="K6" s="86">
        <v>10</v>
      </c>
      <c r="L6" s="87" t="s">
        <v>19</v>
      </c>
      <c r="M6" s="87" t="s">
        <v>49</v>
      </c>
      <c r="N6" s="82">
        <v>0</v>
      </c>
      <c r="O6" s="12" t="s">
        <v>50</v>
      </c>
      <c r="P6" s="88">
        <v>4</v>
      </c>
      <c r="Q6" s="88">
        <v>5</v>
      </c>
    </row>
    <row r="7" spans="1:17" x14ac:dyDescent="0.3">
      <c r="A7" s="12" t="s">
        <v>51</v>
      </c>
      <c r="B7" s="29">
        <v>0</v>
      </c>
      <c r="C7" s="82"/>
      <c r="D7" s="82"/>
      <c r="E7" s="83"/>
      <c r="F7" s="84">
        <v>0</v>
      </c>
      <c r="G7" s="84"/>
      <c r="H7" s="84"/>
      <c r="I7" s="85">
        <v>0</v>
      </c>
      <c r="J7" s="12">
        <v>0</v>
      </c>
      <c r="K7" s="86">
        <v>2</v>
      </c>
      <c r="L7" s="87" t="s">
        <v>19</v>
      </c>
      <c r="M7" s="87" t="s">
        <v>52</v>
      </c>
      <c r="N7" s="82">
        <v>0</v>
      </c>
      <c r="O7" s="12">
        <v>0</v>
      </c>
      <c r="P7" s="88">
        <v>2</v>
      </c>
      <c r="Q7" s="88">
        <v>6</v>
      </c>
    </row>
    <row r="8" spans="1:17" x14ac:dyDescent="0.3">
      <c r="A8" s="12" t="s">
        <v>53</v>
      </c>
      <c r="B8" s="29" t="s">
        <v>54</v>
      </c>
      <c r="C8" s="82" t="s">
        <v>55</v>
      </c>
      <c r="D8" s="82"/>
      <c r="E8" s="83" t="s">
        <v>55</v>
      </c>
      <c r="F8" s="84">
        <v>0</v>
      </c>
      <c r="G8" s="84"/>
      <c r="H8" s="84"/>
      <c r="I8" s="85" t="s">
        <v>56</v>
      </c>
      <c r="J8" s="12" t="s">
        <v>57</v>
      </c>
      <c r="K8" s="86">
        <v>1</v>
      </c>
      <c r="L8" s="87" t="s">
        <v>19</v>
      </c>
      <c r="M8" s="87" t="s">
        <v>58</v>
      </c>
      <c r="N8" s="82">
        <v>0</v>
      </c>
      <c r="O8" s="12" t="s">
        <v>59</v>
      </c>
      <c r="P8" s="88">
        <v>1</v>
      </c>
      <c r="Q8" s="88">
        <v>1</v>
      </c>
    </row>
    <row r="9" spans="1:17" x14ac:dyDescent="0.3">
      <c r="A9" s="12" t="s">
        <v>60</v>
      </c>
      <c r="B9" s="29" t="s">
        <v>61</v>
      </c>
      <c r="C9" s="82" t="s">
        <v>62</v>
      </c>
      <c r="D9" s="82"/>
      <c r="E9" s="83" t="s">
        <v>63</v>
      </c>
      <c r="F9" s="84">
        <v>0</v>
      </c>
      <c r="G9" s="84"/>
      <c r="H9" s="84"/>
      <c r="I9" s="85"/>
      <c r="J9" s="12" t="s">
        <v>64</v>
      </c>
      <c r="K9" s="86">
        <v>6</v>
      </c>
      <c r="L9" s="87" t="s">
        <v>19</v>
      </c>
      <c r="M9" s="87" t="s">
        <v>65</v>
      </c>
      <c r="N9" s="82">
        <v>0</v>
      </c>
      <c r="O9" s="12">
        <v>0</v>
      </c>
      <c r="P9" s="88">
        <v>0</v>
      </c>
      <c r="Q9" s="88">
        <v>5</v>
      </c>
    </row>
    <row r="10" spans="1:17" x14ac:dyDescent="0.3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12" t="s">
        <v>196</v>
      </c>
      <c r="P10" s="31">
        <f>AVERAGE(P2:P9)</f>
        <v>2.75</v>
      </c>
      <c r="Q10" s="31">
        <f>AVERAGE(Q2:Q9)</f>
        <v>4.5</v>
      </c>
    </row>
    <row r="16" spans="1:17" ht="15" thickBot="1" x14ac:dyDescent="0.35"/>
    <row r="17" spans="1:14" ht="32.4" x14ac:dyDescent="0.3">
      <c r="B17" s="77" t="s">
        <v>66</v>
      </c>
      <c r="C17" s="78"/>
      <c r="D17" s="78"/>
      <c r="E17" s="78"/>
      <c r="F17" s="78"/>
      <c r="G17" s="78"/>
      <c r="H17" s="78"/>
      <c r="I17" s="79"/>
    </row>
    <row r="18" spans="1:14" ht="24.6" x14ac:dyDescent="0.45">
      <c r="A18" s="11" t="s">
        <v>67</v>
      </c>
      <c r="B18" s="25" t="s">
        <v>12</v>
      </c>
      <c r="C18" s="25" t="s">
        <v>21</v>
      </c>
      <c r="D18" s="25"/>
      <c r="E18" s="26" t="s">
        <v>29</v>
      </c>
      <c r="F18" s="26" t="s">
        <v>37</v>
      </c>
      <c r="G18" s="26"/>
      <c r="H18" s="26"/>
      <c r="I18" s="27" t="s">
        <v>42</v>
      </c>
      <c r="J18" s="26" t="s">
        <v>51</v>
      </c>
      <c r="K18" s="26" t="s">
        <v>53</v>
      </c>
      <c r="L18" s="26" t="s">
        <v>60</v>
      </c>
      <c r="M18" s="14" t="s">
        <v>68</v>
      </c>
      <c r="N18" s="44" t="s">
        <v>69</v>
      </c>
    </row>
    <row r="19" spans="1:14" ht="23.4" x14ac:dyDescent="0.45">
      <c r="A19" s="16" t="s">
        <v>70</v>
      </c>
      <c r="B19" s="38">
        <v>2</v>
      </c>
      <c r="C19" s="39">
        <v>8</v>
      </c>
      <c r="D19" s="39"/>
      <c r="E19" s="39">
        <v>6</v>
      </c>
      <c r="F19" s="40">
        <v>7</v>
      </c>
      <c r="G19" s="40"/>
      <c r="H19" s="40"/>
      <c r="I19" s="39">
        <v>5</v>
      </c>
      <c r="J19" s="39">
        <v>0</v>
      </c>
      <c r="K19" s="39">
        <v>1</v>
      </c>
      <c r="L19" s="41">
        <v>2</v>
      </c>
      <c r="M19" s="42">
        <f>SUM(B19:L19)</f>
        <v>31</v>
      </c>
      <c r="N19" s="45">
        <f>AVERAGE(B19:L19)</f>
        <v>3.875</v>
      </c>
    </row>
    <row r="20" spans="1:14" ht="23.4" x14ac:dyDescent="0.45">
      <c r="A20" s="16" t="s">
        <v>71</v>
      </c>
      <c r="B20" s="38">
        <v>0</v>
      </c>
      <c r="C20" s="39">
        <v>3</v>
      </c>
      <c r="D20" s="39"/>
      <c r="E20" s="39">
        <v>3</v>
      </c>
      <c r="F20" s="40">
        <v>2</v>
      </c>
      <c r="G20" s="40"/>
      <c r="H20" s="40"/>
      <c r="I20" s="39">
        <v>1</v>
      </c>
      <c r="J20" s="39">
        <v>0</v>
      </c>
      <c r="K20" s="39">
        <v>1</v>
      </c>
      <c r="L20" s="41">
        <v>0</v>
      </c>
      <c r="M20" s="42">
        <f>SUM(B20:L20)</f>
        <v>10</v>
      </c>
      <c r="N20" s="45">
        <f>AVERAGE(B20:L20)</f>
        <v>1.25</v>
      </c>
    </row>
    <row r="21" spans="1:14" ht="23.4" x14ac:dyDescent="0.45">
      <c r="A21" s="16" t="s">
        <v>72</v>
      </c>
      <c r="B21" s="38">
        <v>1</v>
      </c>
      <c r="C21" s="39">
        <v>0</v>
      </c>
      <c r="D21" s="39"/>
      <c r="E21" s="39">
        <v>1</v>
      </c>
      <c r="F21" s="40">
        <v>3</v>
      </c>
      <c r="G21" s="40"/>
      <c r="H21" s="40"/>
      <c r="I21" s="39">
        <v>1</v>
      </c>
      <c r="J21" s="39">
        <v>2</v>
      </c>
      <c r="K21" s="39">
        <v>0</v>
      </c>
      <c r="L21" s="41">
        <v>3</v>
      </c>
      <c r="M21" s="42">
        <f>SUM(B21:L21)</f>
        <v>11</v>
      </c>
      <c r="N21" s="45">
        <f>AVERAGE(B21:L21)</f>
        <v>1.375</v>
      </c>
    </row>
    <row r="22" spans="1:14" ht="23.4" x14ac:dyDescent="0.45">
      <c r="A22" s="16" t="s">
        <v>73</v>
      </c>
      <c r="B22" s="38">
        <v>1</v>
      </c>
      <c r="C22" s="39">
        <v>3</v>
      </c>
      <c r="D22" s="39"/>
      <c r="E22" s="39">
        <v>3</v>
      </c>
      <c r="F22" s="40">
        <v>0</v>
      </c>
      <c r="G22" s="40"/>
      <c r="H22" s="40"/>
      <c r="I22" s="39">
        <v>4</v>
      </c>
      <c r="J22" s="39">
        <v>0</v>
      </c>
      <c r="K22" s="39">
        <v>1</v>
      </c>
      <c r="L22" s="41">
        <v>2</v>
      </c>
      <c r="M22" s="42">
        <f>SUM(B22:L22)</f>
        <v>14</v>
      </c>
      <c r="N22" s="45">
        <f>AVERAGE(B22:L22)</f>
        <v>1.75</v>
      </c>
    </row>
    <row r="23" spans="1:14" ht="23.4" x14ac:dyDescent="0.45">
      <c r="A23" s="16" t="s">
        <v>10</v>
      </c>
      <c r="B23" s="38">
        <v>0</v>
      </c>
      <c r="C23" s="39">
        <v>0</v>
      </c>
      <c r="D23" s="39"/>
      <c r="E23" s="39">
        <v>0</v>
      </c>
      <c r="F23" s="40">
        <v>1</v>
      </c>
      <c r="G23" s="40"/>
      <c r="H23" s="40"/>
      <c r="I23" s="39">
        <v>0</v>
      </c>
      <c r="J23" s="39">
        <v>0</v>
      </c>
      <c r="K23" s="39">
        <v>0</v>
      </c>
      <c r="L23" s="41">
        <v>0</v>
      </c>
      <c r="M23" s="42">
        <f>SUM(B23:L23)</f>
        <v>1</v>
      </c>
      <c r="N23" s="45">
        <f>AVERAGE(B23:L23)</f>
        <v>0.125</v>
      </c>
    </row>
    <row r="24" spans="1:14" ht="23.4" x14ac:dyDescent="0.45">
      <c r="A24" s="16" t="s">
        <v>74</v>
      </c>
      <c r="B24" s="38">
        <v>4</v>
      </c>
      <c r="C24" s="39">
        <v>0</v>
      </c>
      <c r="D24" s="39"/>
      <c r="E24" s="39">
        <v>0</v>
      </c>
      <c r="F24" s="40">
        <v>4</v>
      </c>
      <c r="G24" s="40"/>
      <c r="H24" s="40"/>
      <c r="I24" s="39">
        <v>3</v>
      </c>
      <c r="J24" s="39">
        <v>0</v>
      </c>
      <c r="K24" s="39">
        <v>0</v>
      </c>
      <c r="L24" s="41">
        <v>0</v>
      </c>
      <c r="M24" s="42">
        <f>SUM(B24:L24)</f>
        <v>11</v>
      </c>
      <c r="N24" s="45">
        <f>AVERAGE(B24:L24)</f>
        <v>1.375</v>
      </c>
    </row>
    <row r="25" spans="1:14" ht="23.4" x14ac:dyDescent="0.45">
      <c r="A25" s="16" t="s">
        <v>75</v>
      </c>
      <c r="B25" s="38">
        <v>0</v>
      </c>
      <c r="C25" s="39">
        <v>2</v>
      </c>
      <c r="D25" s="39"/>
      <c r="E25" s="39">
        <v>1</v>
      </c>
      <c r="F25" s="40">
        <v>5</v>
      </c>
      <c r="G25" s="40"/>
      <c r="H25" s="40"/>
      <c r="I25" s="39">
        <v>0</v>
      </c>
      <c r="J25" s="39">
        <v>0</v>
      </c>
      <c r="K25" s="39">
        <v>1</v>
      </c>
      <c r="L25" s="41">
        <v>2</v>
      </c>
      <c r="M25" s="42">
        <f>SUM(B25:L25)</f>
        <v>11</v>
      </c>
      <c r="N25" s="45">
        <f>AVERAGE(B25:L25)</f>
        <v>1.375</v>
      </c>
    </row>
    <row r="26" spans="1:14" ht="23.4" x14ac:dyDescent="0.45">
      <c r="A26" s="16" t="s">
        <v>76</v>
      </c>
      <c r="B26" s="40">
        <v>0</v>
      </c>
      <c r="C26" s="40">
        <v>0</v>
      </c>
      <c r="D26" s="40"/>
      <c r="E26" s="40">
        <v>0</v>
      </c>
      <c r="F26" s="40">
        <v>0</v>
      </c>
      <c r="G26" s="40"/>
      <c r="H26" s="40"/>
      <c r="I26" s="39">
        <v>0</v>
      </c>
      <c r="J26" s="40">
        <v>0</v>
      </c>
      <c r="K26" s="39">
        <v>0</v>
      </c>
      <c r="L26" s="41">
        <v>0</v>
      </c>
      <c r="M26" s="42">
        <f>SUM(B26:L26)</f>
        <v>0</v>
      </c>
      <c r="N26" s="45">
        <f>AVERAGE(B26:L26)</f>
        <v>0</v>
      </c>
    </row>
    <row r="30" spans="1:14" ht="15.6" x14ac:dyDescent="0.3">
      <c r="A30" s="10"/>
    </row>
    <row r="31" spans="1:14" ht="15.6" x14ac:dyDescent="0.3">
      <c r="A31" s="10"/>
    </row>
    <row r="32" spans="1:14" ht="31.2" x14ac:dyDescent="0.6">
      <c r="A32" s="10"/>
      <c r="E32" s="23" t="s">
        <v>77</v>
      </c>
      <c r="F32" s="24"/>
      <c r="G32" s="24"/>
      <c r="H32" s="24"/>
      <c r="I32" s="24"/>
    </row>
    <row r="35" spans="1:17" ht="24.6" x14ac:dyDescent="0.3">
      <c r="A35" s="11" t="s">
        <v>67</v>
      </c>
      <c r="B35" s="12" t="s">
        <v>12</v>
      </c>
      <c r="C35" s="12" t="s">
        <v>21</v>
      </c>
      <c r="D35" s="12"/>
      <c r="E35" s="12" t="s">
        <v>29</v>
      </c>
      <c r="F35" s="12" t="s">
        <v>37</v>
      </c>
      <c r="G35" s="12"/>
      <c r="H35" s="12"/>
      <c r="I35" s="13" t="s">
        <v>42</v>
      </c>
      <c r="J35" s="12" t="s">
        <v>51</v>
      </c>
      <c r="K35" s="12" t="s">
        <v>53</v>
      </c>
      <c r="L35" s="12" t="s">
        <v>60</v>
      </c>
      <c r="M35" s="14" t="s">
        <v>68</v>
      </c>
      <c r="N35" s="15" t="s">
        <v>69</v>
      </c>
    </row>
    <row r="36" spans="1:17" ht="23.4" x14ac:dyDescent="0.45">
      <c r="A36" s="16" t="s">
        <v>70</v>
      </c>
      <c r="B36" s="38">
        <v>6</v>
      </c>
      <c r="C36" s="39">
        <v>5</v>
      </c>
      <c r="D36" s="39"/>
      <c r="E36" s="39">
        <v>3</v>
      </c>
      <c r="F36" s="40">
        <v>10</v>
      </c>
      <c r="G36" s="40"/>
      <c r="H36" s="40"/>
      <c r="I36" s="39">
        <v>8</v>
      </c>
      <c r="J36" s="39">
        <v>4</v>
      </c>
      <c r="K36" s="39">
        <v>3</v>
      </c>
      <c r="L36" s="41">
        <v>1</v>
      </c>
      <c r="M36" s="42">
        <f>SUM(B36:L36)</f>
        <v>40</v>
      </c>
      <c r="N36" s="43">
        <f>AVERAGE(B36:L36)</f>
        <v>5</v>
      </c>
    </row>
    <row r="37" spans="1:17" ht="23.4" x14ac:dyDescent="0.45">
      <c r="A37" s="16" t="s">
        <v>71</v>
      </c>
      <c r="B37" s="38">
        <v>4</v>
      </c>
      <c r="C37" s="39">
        <v>1</v>
      </c>
      <c r="D37" s="39"/>
      <c r="E37" s="39">
        <v>1</v>
      </c>
      <c r="F37" s="40">
        <v>3</v>
      </c>
      <c r="G37" s="40"/>
      <c r="H37" s="40"/>
      <c r="I37" s="39">
        <v>5</v>
      </c>
      <c r="J37" s="39">
        <v>1</v>
      </c>
      <c r="K37" s="39">
        <v>0</v>
      </c>
      <c r="L37" s="41">
        <v>2</v>
      </c>
      <c r="M37" s="42">
        <f>SUM(B37:L37)</f>
        <v>17</v>
      </c>
      <c r="N37" s="43">
        <f>AVERAGE(B37:L37)</f>
        <v>2.125</v>
      </c>
    </row>
    <row r="38" spans="1:17" ht="23.4" x14ac:dyDescent="0.45">
      <c r="A38" s="16" t="s">
        <v>72</v>
      </c>
      <c r="B38" s="38">
        <v>1</v>
      </c>
      <c r="C38" s="39">
        <v>2</v>
      </c>
      <c r="D38" s="39"/>
      <c r="E38" s="39">
        <v>4</v>
      </c>
      <c r="F38" s="40">
        <v>10</v>
      </c>
      <c r="G38" s="40"/>
      <c r="H38" s="40"/>
      <c r="I38" s="39">
        <v>4</v>
      </c>
      <c r="J38" s="39">
        <v>3</v>
      </c>
      <c r="K38" s="39">
        <v>1</v>
      </c>
      <c r="L38" s="41">
        <v>1</v>
      </c>
      <c r="M38" s="42">
        <f>SUM(B38:L38)</f>
        <v>26</v>
      </c>
      <c r="N38" s="43">
        <f>AVERAGE(B38:L38)</f>
        <v>3.25</v>
      </c>
    </row>
    <row r="39" spans="1:17" ht="23.4" x14ac:dyDescent="0.45">
      <c r="A39" s="16" t="s">
        <v>73</v>
      </c>
      <c r="B39" s="38">
        <v>4</v>
      </c>
      <c r="C39" s="39">
        <v>2</v>
      </c>
      <c r="D39" s="39"/>
      <c r="E39" s="39">
        <v>2</v>
      </c>
      <c r="F39" s="40">
        <v>2</v>
      </c>
      <c r="G39" s="40"/>
      <c r="H39" s="40"/>
      <c r="I39" s="39">
        <v>5</v>
      </c>
      <c r="J39" s="39">
        <v>1</v>
      </c>
      <c r="K39" s="39">
        <v>1</v>
      </c>
      <c r="L39" s="41">
        <v>2</v>
      </c>
      <c r="M39" s="42">
        <f>SUM(B39:L39)</f>
        <v>19</v>
      </c>
      <c r="N39" s="43">
        <f>AVERAGE(B39:L39)</f>
        <v>2.375</v>
      </c>
    </row>
    <row r="40" spans="1:17" ht="23.4" x14ac:dyDescent="0.45">
      <c r="A40" s="16" t="s">
        <v>10</v>
      </c>
      <c r="B40" s="38">
        <v>0</v>
      </c>
      <c r="C40" s="39">
        <v>1</v>
      </c>
      <c r="D40" s="39"/>
      <c r="E40" s="39">
        <v>1</v>
      </c>
      <c r="F40" s="40">
        <v>0</v>
      </c>
      <c r="G40" s="40"/>
      <c r="H40" s="40"/>
      <c r="I40" s="39">
        <v>1</v>
      </c>
      <c r="J40" s="39">
        <v>1</v>
      </c>
      <c r="K40" s="39">
        <v>0</v>
      </c>
      <c r="L40" s="41">
        <v>2</v>
      </c>
      <c r="M40" s="42">
        <f>SUM(B40:L40)</f>
        <v>6</v>
      </c>
      <c r="N40" s="43">
        <f>AVERAGE(B40:L40)</f>
        <v>0.75</v>
      </c>
    </row>
    <row r="41" spans="1:17" ht="23.4" x14ac:dyDescent="0.45">
      <c r="A41" s="16" t="s">
        <v>74</v>
      </c>
      <c r="B41" s="38">
        <v>9</v>
      </c>
      <c r="C41" s="39">
        <v>0</v>
      </c>
      <c r="D41" s="39"/>
      <c r="E41" s="39">
        <v>1</v>
      </c>
      <c r="F41" s="40">
        <v>13</v>
      </c>
      <c r="G41" s="40"/>
      <c r="H41" s="40"/>
      <c r="I41" s="39">
        <v>3</v>
      </c>
      <c r="J41" s="39">
        <v>1</v>
      </c>
      <c r="K41" s="39">
        <v>1</v>
      </c>
      <c r="L41" s="41">
        <v>1</v>
      </c>
      <c r="M41" s="42">
        <f>SUM(B41:L41)</f>
        <v>29</v>
      </c>
      <c r="N41" s="43">
        <f>AVERAGE(B41:L41)</f>
        <v>3.625</v>
      </c>
    </row>
    <row r="42" spans="1:17" ht="23.4" x14ac:dyDescent="0.45">
      <c r="A42" s="16" t="s">
        <v>75</v>
      </c>
      <c r="B42" s="38">
        <v>0</v>
      </c>
      <c r="C42" s="39">
        <v>0</v>
      </c>
      <c r="D42" s="39"/>
      <c r="E42" s="39">
        <v>3</v>
      </c>
      <c r="F42" s="40">
        <v>13</v>
      </c>
      <c r="G42" s="40"/>
      <c r="H42" s="40"/>
      <c r="I42" s="39">
        <v>0</v>
      </c>
      <c r="J42" s="39">
        <v>0</v>
      </c>
      <c r="K42" s="39">
        <v>3</v>
      </c>
      <c r="L42" s="41">
        <v>2</v>
      </c>
      <c r="M42" s="42">
        <f>SUM(B42:L42)</f>
        <v>21</v>
      </c>
      <c r="N42" s="43">
        <f>AVERAGE(B42:L42)</f>
        <v>2.625</v>
      </c>
    </row>
    <row r="43" spans="1:17" ht="23.4" x14ac:dyDescent="0.45">
      <c r="A43" s="16" t="s">
        <v>76</v>
      </c>
      <c r="B43" s="40">
        <v>1</v>
      </c>
      <c r="C43" s="40">
        <v>0</v>
      </c>
      <c r="D43" s="40"/>
      <c r="E43" s="40">
        <v>0</v>
      </c>
      <c r="F43" s="40">
        <v>0</v>
      </c>
      <c r="G43" s="40"/>
      <c r="H43" s="40"/>
      <c r="I43" s="39">
        <v>0</v>
      </c>
      <c r="J43" s="40">
        <v>3</v>
      </c>
      <c r="K43" s="39">
        <v>0</v>
      </c>
      <c r="L43" s="41">
        <v>0</v>
      </c>
      <c r="M43" s="42">
        <f>SUM(B43:L43)</f>
        <v>4</v>
      </c>
      <c r="N43" s="43">
        <f>AVERAGE(B43:L43)</f>
        <v>0.5</v>
      </c>
    </row>
    <row r="46" spans="1:17" ht="15.6" x14ac:dyDescent="0.3">
      <c r="A46" s="1" t="s">
        <v>0</v>
      </c>
      <c r="B46" s="2" t="s">
        <v>1</v>
      </c>
      <c r="C46" s="2" t="s">
        <v>2</v>
      </c>
      <c r="D46" s="2"/>
      <c r="E46" s="2" t="s">
        <v>3</v>
      </c>
      <c r="F46" s="2" t="s">
        <v>4</v>
      </c>
      <c r="G46" s="2"/>
      <c r="H46" s="2"/>
      <c r="I46" s="2" t="s">
        <v>5</v>
      </c>
      <c r="J46" s="2" t="s">
        <v>6</v>
      </c>
      <c r="K46" s="2" t="s">
        <v>7</v>
      </c>
      <c r="L46" s="2" t="s">
        <v>8</v>
      </c>
      <c r="M46" s="2" t="s">
        <v>9</v>
      </c>
      <c r="N46" s="2" t="s">
        <v>10</v>
      </c>
      <c r="O46" s="2" t="s">
        <v>11</v>
      </c>
      <c r="P46" s="2" t="s">
        <v>78</v>
      </c>
      <c r="Q46" s="2" t="s">
        <v>79</v>
      </c>
    </row>
    <row r="47" spans="1:17" x14ac:dyDescent="0.3">
      <c r="A47" s="3" t="s">
        <v>12</v>
      </c>
      <c r="B47" s="4" t="s">
        <v>80</v>
      </c>
      <c r="C47" s="5"/>
      <c r="D47" s="5"/>
      <c r="E47" s="6" t="s">
        <v>81</v>
      </c>
      <c r="F47" s="4" t="s">
        <v>82</v>
      </c>
      <c r="G47" s="4"/>
      <c r="H47" s="4"/>
      <c r="I47" s="3" t="s">
        <v>83</v>
      </c>
      <c r="J47" s="3" t="s">
        <v>84</v>
      </c>
      <c r="K47" s="35">
        <v>19</v>
      </c>
      <c r="L47" s="36" t="s">
        <v>19</v>
      </c>
      <c r="M47" s="6" t="s">
        <v>85</v>
      </c>
      <c r="N47" s="7">
        <v>0</v>
      </c>
      <c r="O47" s="5" t="s">
        <v>86</v>
      </c>
      <c r="P47" s="34">
        <v>9</v>
      </c>
      <c r="Q47" s="34">
        <v>10</v>
      </c>
    </row>
    <row r="48" spans="1:17" x14ac:dyDescent="0.3">
      <c r="A48" s="3" t="s">
        <v>21</v>
      </c>
      <c r="B48" s="4" t="s">
        <v>87</v>
      </c>
      <c r="C48" s="5"/>
      <c r="D48" s="5"/>
      <c r="E48" s="6" t="s">
        <v>88</v>
      </c>
      <c r="F48" s="4">
        <v>0</v>
      </c>
      <c r="G48" s="4"/>
      <c r="H48" s="4"/>
      <c r="I48" s="3"/>
      <c r="J48" s="3" t="s">
        <v>89</v>
      </c>
      <c r="K48" s="35">
        <v>8</v>
      </c>
      <c r="L48" s="36" t="s">
        <v>19</v>
      </c>
      <c r="M48" s="6" t="s">
        <v>90</v>
      </c>
      <c r="N48" s="7" t="s">
        <v>91</v>
      </c>
      <c r="O48" s="5" t="s">
        <v>92</v>
      </c>
      <c r="P48" s="34">
        <v>3</v>
      </c>
      <c r="Q48" s="34">
        <v>5</v>
      </c>
    </row>
    <row r="49" spans="1:17" x14ac:dyDescent="0.3">
      <c r="A49" s="3" t="s">
        <v>29</v>
      </c>
      <c r="B49" s="4" t="s">
        <v>93</v>
      </c>
      <c r="C49" s="5"/>
      <c r="D49" s="5"/>
      <c r="E49" s="6" t="s">
        <v>94</v>
      </c>
      <c r="F49" s="4">
        <v>1</v>
      </c>
      <c r="G49" s="4"/>
      <c r="H49" s="4"/>
      <c r="I49" s="3" t="s">
        <v>95</v>
      </c>
      <c r="J49" s="3" t="s">
        <v>96</v>
      </c>
      <c r="K49" s="35">
        <v>9</v>
      </c>
      <c r="L49" s="36" t="s">
        <v>19</v>
      </c>
      <c r="M49" s="6" t="s">
        <v>97</v>
      </c>
      <c r="N49" s="7" t="s">
        <v>98</v>
      </c>
      <c r="O49" s="5" t="s">
        <v>99</v>
      </c>
      <c r="P49" s="34">
        <v>3</v>
      </c>
      <c r="Q49" s="34">
        <v>6</v>
      </c>
    </row>
    <row r="50" spans="1:17" x14ac:dyDescent="0.3">
      <c r="A50" s="3" t="s">
        <v>37</v>
      </c>
      <c r="B50" s="4" t="s">
        <v>100</v>
      </c>
      <c r="C50" s="5"/>
      <c r="D50" s="5"/>
      <c r="E50" s="6" t="s">
        <v>101</v>
      </c>
      <c r="F50" s="4" t="s">
        <v>102</v>
      </c>
      <c r="G50" s="4"/>
      <c r="H50" s="4"/>
      <c r="I50" s="3" t="s">
        <v>38</v>
      </c>
      <c r="J50" s="3" t="s">
        <v>103</v>
      </c>
      <c r="K50" s="35">
        <v>9</v>
      </c>
      <c r="L50" s="36" t="s">
        <v>19</v>
      </c>
      <c r="M50" s="6" t="s">
        <v>104</v>
      </c>
      <c r="N50" s="7">
        <v>0</v>
      </c>
      <c r="O50" s="5" t="s">
        <v>105</v>
      </c>
      <c r="P50" s="34">
        <v>5</v>
      </c>
      <c r="Q50" s="34">
        <v>4</v>
      </c>
    </row>
    <row r="51" spans="1:17" x14ac:dyDescent="0.3">
      <c r="A51" s="3" t="s">
        <v>42</v>
      </c>
      <c r="B51" s="4" t="s">
        <v>106</v>
      </c>
      <c r="C51" s="5"/>
      <c r="D51" s="5"/>
      <c r="E51" s="6" t="s">
        <v>107</v>
      </c>
      <c r="F51" s="4" t="s">
        <v>46</v>
      </c>
      <c r="G51" s="4"/>
      <c r="H51" s="4"/>
      <c r="I51" s="3" t="s">
        <v>108</v>
      </c>
      <c r="J51" s="3" t="s">
        <v>109</v>
      </c>
      <c r="K51" s="35">
        <v>17</v>
      </c>
      <c r="L51" s="36" t="s">
        <v>19</v>
      </c>
      <c r="M51" s="6" t="s">
        <v>110</v>
      </c>
      <c r="N51" s="7" t="s">
        <v>111</v>
      </c>
      <c r="O51" s="5" t="s">
        <v>112</v>
      </c>
      <c r="P51" s="34">
        <v>8</v>
      </c>
      <c r="Q51" s="34">
        <v>9</v>
      </c>
    </row>
    <row r="52" spans="1:17" x14ac:dyDescent="0.3">
      <c r="A52" s="3" t="s">
        <v>51</v>
      </c>
      <c r="B52" s="4" t="s">
        <v>113</v>
      </c>
      <c r="C52" s="5"/>
      <c r="D52" s="5"/>
      <c r="E52" s="6" t="s">
        <v>114</v>
      </c>
      <c r="F52" s="4" t="s">
        <v>115</v>
      </c>
      <c r="G52" s="4"/>
      <c r="H52" s="4"/>
      <c r="I52" s="3" t="s">
        <v>116</v>
      </c>
      <c r="J52" s="3" t="s">
        <v>117</v>
      </c>
      <c r="K52" s="35">
        <v>14</v>
      </c>
      <c r="L52" s="36" t="s">
        <v>19</v>
      </c>
      <c r="M52" s="6" t="s">
        <v>118</v>
      </c>
      <c r="N52" s="7">
        <v>0</v>
      </c>
      <c r="O52" s="5">
        <v>0</v>
      </c>
      <c r="P52" s="34">
        <v>7</v>
      </c>
      <c r="Q52" s="34">
        <v>7</v>
      </c>
    </row>
    <row r="53" spans="1:17" x14ac:dyDescent="0.3">
      <c r="A53" s="3" t="s">
        <v>53</v>
      </c>
      <c r="B53" s="4">
        <v>0</v>
      </c>
      <c r="C53" s="5"/>
      <c r="D53" s="5"/>
      <c r="E53" s="6">
        <v>0</v>
      </c>
      <c r="F53" s="4" t="s">
        <v>115</v>
      </c>
      <c r="G53" s="4"/>
      <c r="H53" s="4"/>
      <c r="I53" s="3" t="s">
        <v>119</v>
      </c>
      <c r="J53" s="3" t="s">
        <v>120</v>
      </c>
      <c r="K53" s="35">
        <v>2</v>
      </c>
      <c r="L53" s="36" t="s">
        <v>19</v>
      </c>
      <c r="M53" s="6" t="s">
        <v>121</v>
      </c>
      <c r="N53" s="7"/>
      <c r="O53" s="5" t="s">
        <v>122</v>
      </c>
      <c r="P53" s="34">
        <v>0</v>
      </c>
      <c r="Q53" s="34">
        <v>2</v>
      </c>
    </row>
    <row r="54" spans="1:17" x14ac:dyDescent="0.3">
      <c r="A54" s="9" t="s">
        <v>60</v>
      </c>
      <c r="B54" s="4" t="s">
        <v>123</v>
      </c>
      <c r="C54" s="5"/>
      <c r="D54" s="5"/>
      <c r="E54" s="6" t="s">
        <v>124</v>
      </c>
      <c r="F54" s="4" t="s">
        <v>125</v>
      </c>
      <c r="G54" s="4"/>
      <c r="H54" s="4"/>
      <c r="I54" s="3" t="s">
        <v>126</v>
      </c>
      <c r="J54" s="3" t="s">
        <v>127</v>
      </c>
      <c r="K54" s="35">
        <v>8</v>
      </c>
      <c r="L54" s="36" t="s">
        <v>19</v>
      </c>
      <c r="M54" s="6" t="s">
        <v>128</v>
      </c>
      <c r="N54" s="7" t="s">
        <v>129</v>
      </c>
      <c r="O54" s="5" t="s">
        <v>130</v>
      </c>
      <c r="P54" s="34">
        <v>5</v>
      </c>
      <c r="Q54" s="34">
        <v>3</v>
      </c>
    </row>
    <row r="55" spans="1:17" x14ac:dyDescent="0.3">
      <c r="E55" s="63"/>
      <c r="O55" s="5" t="s">
        <v>196</v>
      </c>
      <c r="P55" s="33">
        <f>AVERAGE(P47:P54)</f>
        <v>5</v>
      </c>
      <c r="Q55" s="33">
        <f>AVERAGE(Q47:Q54)</f>
        <v>5.75</v>
      </c>
    </row>
    <row r="56" spans="1:17" ht="28.8" x14ac:dyDescent="0.55000000000000004">
      <c r="C56" s="64" t="s">
        <v>239</v>
      </c>
      <c r="E56" s="72"/>
      <c r="J56" s="3" t="s">
        <v>196</v>
      </c>
      <c r="K56" s="33">
        <f>AVERAGE(K47:K54)</f>
        <v>10.75</v>
      </c>
    </row>
    <row r="57" spans="1:17" ht="45.6" x14ac:dyDescent="0.3">
      <c r="A57" s="47" t="s">
        <v>198</v>
      </c>
      <c r="B57" s="48" t="s">
        <v>199</v>
      </c>
      <c r="C57" s="49" t="s">
        <v>200</v>
      </c>
      <c r="D57" s="48" t="s">
        <v>201</v>
      </c>
      <c r="E57" s="49" t="s">
        <v>202</v>
      </c>
      <c r="F57" s="49" t="s">
        <v>240</v>
      </c>
      <c r="G57" s="49" t="s">
        <v>42</v>
      </c>
      <c r="H57" s="48" t="s">
        <v>203</v>
      </c>
      <c r="I57" s="49" t="s">
        <v>68</v>
      </c>
      <c r="J57" s="49" t="s">
        <v>69</v>
      </c>
      <c r="K57" s="49" t="s">
        <v>204</v>
      </c>
    </row>
    <row r="58" spans="1:17" ht="23.4" x14ac:dyDescent="0.45">
      <c r="A58" s="50" t="s">
        <v>205</v>
      </c>
      <c r="B58" s="49">
        <v>12</v>
      </c>
      <c r="C58" s="52">
        <v>7</v>
      </c>
      <c r="D58" s="51">
        <v>15</v>
      </c>
      <c r="E58" s="51">
        <v>11</v>
      </c>
      <c r="F58" s="51">
        <v>10</v>
      </c>
      <c r="G58" s="51">
        <v>7</v>
      </c>
      <c r="H58" s="51">
        <v>8</v>
      </c>
      <c r="I58" s="69">
        <f>SUM(B58:H58)</f>
        <v>70</v>
      </c>
      <c r="J58" s="53">
        <f>AVERAGE(B58:H58)</f>
        <v>10</v>
      </c>
      <c r="K58" s="51">
        <v>9</v>
      </c>
    </row>
    <row r="59" spans="1:17" ht="23.4" x14ac:dyDescent="0.45">
      <c r="A59" s="50" t="s">
        <v>206</v>
      </c>
      <c r="B59" s="49">
        <v>3</v>
      </c>
      <c r="C59" s="52">
        <v>1</v>
      </c>
      <c r="D59" s="51">
        <v>0</v>
      </c>
      <c r="E59" s="51">
        <v>7</v>
      </c>
      <c r="F59" s="51">
        <v>2</v>
      </c>
      <c r="G59" s="51">
        <v>2</v>
      </c>
      <c r="H59" s="51">
        <v>0</v>
      </c>
      <c r="I59" s="51">
        <f>SUM(B59:H59)</f>
        <v>15</v>
      </c>
      <c r="J59" s="53">
        <f t="shared" ref="J59:J73" si="0">AVERAGE(B59:H59)</f>
        <v>2.1428571428571428</v>
      </c>
      <c r="K59" s="51">
        <v>2</v>
      </c>
    </row>
    <row r="60" spans="1:17" ht="23.4" x14ac:dyDescent="0.45">
      <c r="A60" s="50" t="s">
        <v>207</v>
      </c>
      <c r="B60" s="49">
        <v>3</v>
      </c>
      <c r="C60" s="52">
        <v>2</v>
      </c>
      <c r="D60" s="51">
        <v>0</v>
      </c>
      <c r="E60" s="51">
        <v>10</v>
      </c>
      <c r="F60" s="51">
        <v>2</v>
      </c>
      <c r="G60" s="51">
        <v>0</v>
      </c>
      <c r="H60" s="51">
        <v>0</v>
      </c>
      <c r="I60" s="51">
        <f>SUM(B60:H60)</f>
        <v>17</v>
      </c>
      <c r="J60" s="53">
        <f t="shared" si="0"/>
        <v>2.4285714285714284</v>
      </c>
      <c r="K60" s="51">
        <v>3</v>
      </c>
    </row>
    <row r="61" spans="1:17" ht="23.4" x14ac:dyDescent="0.45">
      <c r="A61" s="50" t="s">
        <v>208</v>
      </c>
      <c r="B61" s="49">
        <v>7</v>
      </c>
      <c r="C61" s="52">
        <v>3</v>
      </c>
      <c r="D61" s="51">
        <v>1</v>
      </c>
      <c r="E61" s="51">
        <v>6</v>
      </c>
      <c r="F61" s="51">
        <v>1</v>
      </c>
      <c r="G61" s="51">
        <v>3</v>
      </c>
      <c r="H61" s="51">
        <v>0</v>
      </c>
      <c r="I61" s="51">
        <f>SUM(B61:H61)</f>
        <v>21</v>
      </c>
      <c r="J61" s="53">
        <f t="shared" si="0"/>
        <v>3</v>
      </c>
      <c r="K61" s="51">
        <v>3</v>
      </c>
    </row>
    <row r="62" spans="1:17" ht="23.4" x14ac:dyDescent="0.45">
      <c r="A62" s="50" t="s">
        <v>209</v>
      </c>
      <c r="B62" s="49">
        <v>6</v>
      </c>
      <c r="C62" s="52">
        <v>3</v>
      </c>
      <c r="D62" s="51">
        <v>0</v>
      </c>
      <c r="E62" s="51">
        <v>12</v>
      </c>
      <c r="F62" s="51">
        <v>1</v>
      </c>
      <c r="G62" s="51">
        <v>3</v>
      </c>
      <c r="H62" s="51">
        <v>0</v>
      </c>
      <c r="I62" s="51">
        <f>SUM(B62:H62)</f>
        <v>25</v>
      </c>
      <c r="J62" s="53">
        <f t="shared" si="0"/>
        <v>3.5714285714285716</v>
      </c>
      <c r="K62" s="51">
        <v>3</v>
      </c>
    </row>
    <row r="63" spans="1:17" ht="23.4" x14ac:dyDescent="0.45">
      <c r="A63" s="50" t="s">
        <v>210</v>
      </c>
      <c r="B63" s="49">
        <v>2</v>
      </c>
      <c r="C63" s="52">
        <v>3</v>
      </c>
      <c r="D63" s="51">
        <v>1</v>
      </c>
      <c r="E63" s="51">
        <v>3</v>
      </c>
      <c r="F63" s="51">
        <v>0</v>
      </c>
      <c r="G63" s="51">
        <v>3</v>
      </c>
      <c r="H63" s="51">
        <v>0</v>
      </c>
      <c r="I63" s="51">
        <f>SUM(B63:H63)</f>
        <v>12</v>
      </c>
      <c r="J63" s="53">
        <f t="shared" si="0"/>
        <v>1.7142857142857142</v>
      </c>
      <c r="K63" s="51">
        <v>2</v>
      </c>
    </row>
    <row r="64" spans="1:17" ht="23.4" x14ac:dyDescent="0.45">
      <c r="A64" s="50" t="s">
        <v>211</v>
      </c>
      <c r="B64" s="49">
        <v>0</v>
      </c>
      <c r="C64" s="52">
        <v>0</v>
      </c>
      <c r="D64" s="51">
        <v>0</v>
      </c>
      <c r="E64" s="51">
        <v>1</v>
      </c>
      <c r="F64" s="51">
        <v>0</v>
      </c>
      <c r="G64" s="51">
        <v>0</v>
      </c>
      <c r="H64" s="51">
        <v>0</v>
      </c>
      <c r="I64" s="51">
        <f>SUM(B64:H64)</f>
        <v>1</v>
      </c>
      <c r="J64" s="53">
        <f t="shared" si="0"/>
        <v>0.14285714285714285</v>
      </c>
      <c r="K64" s="51">
        <v>0</v>
      </c>
    </row>
    <row r="65" spans="1:11" ht="23.4" x14ac:dyDescent="0.45">
      <c r="A65" s="55" t="s">
        <v>212</v>
      </c>
      <c r="B65" s="49">
        <v>3</v>
      </c>
      <c r="C65" s="52">
        <v>1</v>
      </c>
      <c r="D65" s="51">
        <v>0</v>
      </c>
      <c r="E65" s="52">
        <v>1</v>
      </c>
      <c r="F65" s="52">
        <v>0</v>
      </c>
      <c r="G65" s="52">
        <v>0</v>
      </c>
      <c r="H65" s="51">
        <v>0</v>
      </c>
      <c r="I65" s="51">
        <f>SUM(B65:H65)</f>
        <v>5</v>
      </c>
      <c r="J65" s="53">
        <f t="shared" si="0"/>
        <v>0.7142857142857143</v>
      </c>
      <c r="K65" s="51">
        <v>1</v>
      </c>
    </row>
    <row r="66" spans="1:11" ht="23.4" x14ac:dyDescent="0.45">
      <c r="A66" s="50" t="s">
        <v>213</v>
      </c>
      <c r="B66" s="49">
        <v>0</v>
      </c>
      <c r="C66" s="52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f>SUM(B66:H66)</f>
        <v>0</v>
      </c>
      <c r="J66" s="53">
        <f t="shared" si="0"/>
        <v>0</v>
      </c>
      <c r="K66" s="51">
        <v>0</v>
      </c>
    </row>
    <row r="67" spans="1:11" ht="23.4" x14ac:dyDescent="0.45">
      <c r="A67" s="50" t="s">
        <v>214</v>
      </c>
      <c r="B67" s="49">
        <v>1</v>
      </c>
      <c r="C67" s="52">
        <v>2</v>
      </c>
      <c r="D67" s="51">
        <v>3</v>
      </c>
      <c r="E67" s="51">
        <v>1</v>
      </c>
      <c r="F67" s="51">
        <v>2</v>
      </c>
      <c r="G67" s="51">
        <v>2</v>
      </c>
      <c r="H67" s="51">
        <v>0</v>
      </c>
      <c r="I67" s="51">
        <f>SUM(B67:H67)</f>
        <v>11</v>
      </c>
      <c r="J67" s="53">
        <f t="shared" si="0"/>
        <v>1.5714285714285714</v>
      </c>
      <c r="K67" s="51">
        <v>2</v>
      </c>
    </row>
    <row r="68" spans="1:11" ht="23.4" x14ac:dyDescent="0.45">
      <c r="A68" s="50" t="s">
        <v>215</v>
      </c>
      <c r="B68" s="51">
        <v>2</v>
      </c>
      <c r="C68" s="52">
        <v>0</v>
      </c>
      <c r="D68" s="51">
        <v>0</v>
      </c>
      <c r="E68" s="51">
        <v>3</v>
      </c>
      <c r="F68" s="51">
        <v>0</v>
      </c>
      <c r="G68" s="51">
        <v>0</v>
      </c>
      <c r="H68" s="51">
        <v>0</v>
      </c>
      <c r="I68" s="51">
        <f>SUM(B68:H68)</f>
        <v>5</v>
      </c>
      <c r="J68" s="53">
        <f t="shared" si="0"/>
        <v>0.7142857142857143</v>
      </c>
      <c r="K68" s="51">
        <v>1</v>
      </c>
    </row>
    <row r="69" spans="1:11" ht="23.4" x14ac:dyDescent="0.45">
      <c r="A69" s="50" t="s">
        <v>216</v>
      </c>
      <c r="B69" s="51">
        <v>5</v>
      </c>
      <c r="C69" s="52">
        <v>0</v>
      </c>
      <c r="D69" s="51">
        <v>0</v>
      </c>
      <c r="E69" s="51">
        <v>5</v>
      </c>
      <c r="F69" s="51">
        <v>2</v>
      </c>
      <c r="G69" s="51">
        <v>6</v>
      </c>
      <c r="H69" s="51">
        <v>0</v>
      </c>
      <c r="I69" s="51">
        <f>SUM(B69:H69)</f>
        <v>18</v>
      </c>
      <c r="J69" s="53">
        <f t="shared" si="0"/>
        <v>2.5714285714285716</v>
      </c>
      <c r="K69" s="51">
        <v>3</v>
      </c>
    </row>
    <row r="70" spans="1:11" ht="23.4" x14ac:dyDescent="0.45">
      <c r="A70" s="50" t="s">
        <v>217</v>
      </c>
      <c r="B70" s="51">
        <v>1</v>
      </c>
      <c r="C70" s="52">
        <v>1</v>
      </c>
      <c r="D70" s="51">
        <v>0</v>
      </c>
      <c r="E70" s="51">
        <v>10</v>
      </c>
      <c r="F70" s="51">
        <v>3</v>
      </c>
      <c r="G70" s="51">
        <v>3</v>
      </c>
      <c r="H70" s="51">
        <v>1</v>
      </c>
      <c r="I70" s="51">
        <f>SUM(B70:H70)</f>
        <v>19</v>
      </c>
      <c r="J70" s="53">
        <f t="shared" si="0"/>
        <v>2.7142857142857144</v>
      </c>
      <c r="K70" s="51">
        <v>3</v>
      </c>
    </row>
    <row r="71" spans="1:11" ht="23.4" x14ac:dyDescent="0.45">
      <c r="A71" s="50" t="s">
        <v>218</v>
      </c>
      <c r="B71" s="51">
        <v>0</v>
      </c>
      <c r="C71" s="51">
        <v>2</v>
      </c>
      <c r="D71" s="51">
        <v>0</v>
      </c>
      <c r="E71" s="51">
        <v>1</v>
      </c>
      <c r="F71" s="51">
        <v>2</v>
      </c>
      <c r="G71" s="51">
        <v>1</v>
      </c>
      <c r="H71" s="51">
        <v>0</v>
      </c>
      <c r="I71" s="51">
        <f>SUM(B71:H71)</f>
        <v>6</v>
      </c>
      <c r="J71" s="53">
        <f t="shared" si="0"/>
        <v>0.8571428571428571</v>
      </c>
      <c r="K71" s="51">
        <v>1</v>
      </c>
    </row>
    <row r="72" spans="1:11" ht="23.4" x14ac:dyDescent="0.45">
      <c r="A72" s="50" t="s">
        <v>219</v>
      </c>
      <c r="B72" s="51">
        <v>3</v>
      </c>
      <c r="C72" s="51">
        <v>3</v>
      </c>
      <c r="D72" s="51">
        <v>0</v>
      </c>
      <c r="E72" s="51">
        <v>2</v>
      </c>
      <c r="F72" s="51">
        <v>1</v>
      </c>
      <c r="G72" s="51">
        <v>1</v>
      </c>
      <c r="H72" s="51">
        <v>0</v>
      </c>
      <c r="I72" s="51">
        <f>SUM(B72:H72)</f>
        <v>10</v>
      </c>
      <c r="J72" s="53">
        <f t="shared" si="0"/>
        <v>1.4285714285714286</v>
      </c>
      <c r="K72" s="51">
        <v>1</v>
      </c>
    </row>
    <row r="73" spans="1:11" ht="23.4" x14ac:dyDescent="0.45">
      <c r="A73" s="54" t="s">
        <v>220</v>
      </c>
      <c r="B73" s="51">
        <v>0</v>
      </c>
      <c r="C73" s="51">
        <v>8</v>
      </c>
      <c r="D73" s="51">
        <v>8</v>
      </c>
      <c r="E73" s="51">
        <v>0</v>
      </c>
      <c r="F73" s="51">
        <v>6</v>
      </c>
      <c r="G73" s="51">
        <v>19</v>
      </c>
      <c r="H73" s="51">
        <v>3</v>
      </c>
      <c r="I73" s="69">
        <f>SUM(B73:H73)</f>
        <v>44</v>
      </c>
      <c r="J73" s="53">
        <f t="shared" si="0"/>
        <v>6.2857142857142856</v>
      </c>
      <c r="K73" s="51">
        <v>6</v>
      </c>
    </row>
    <row r="74" spans="1:11" ht="23.4" x14ac:dyDescent="0.45">
      <c r="J74" s="46"/>
    </row>
    <row r="76" spans="1:11" ht="36.6" x14ac:dyDescent="0.7">
      <c r="C76" s="62" t="s">
        <v>133</v>
      </c>
      <c r="E76" s="71"/>
    </row>
    <row r="80" spans="1:11" ht="45.6" x14ac:dyDescent="0.3">
      <c r="A80" s="47" t="s">
        <v>222</v>
      </c>
      <c r="B80" s="48" t="s">
        <v>199</v>
      </c>
      <c r="C80" s="49" t="s">
        <v>200</v>
      </c>
      <c r="D80" s="49" t="s">
        <v>240</v>
      </c>
      <c r="E80" s="48" t="s">
        <v>201</v>
      </c>
      <c r="F80" s="49" t="s">
        <v>202</v>
      </c>
      <c r="G80" s="48" t="s">
        <v>203</v>
      </c>
      <c r="H80" s="48" t="s">
        <v>42</v>
      </c>
      <c r="I80" s="49" t="s">
        <v>68</v>
      </c>
      <c r="J80" s="49" t="s">
        <v>69</v>
      </c>
      <c r="K80" s="49" t="s">
        <v>204</v>
      </c>
    </row>
    <row r="81" spans="1:11" ht="25.8" x14ac:dyDescent="0.5">
      <c r="A81" s="56" t="s">
        <v>223</v>
      </c>
      <c r="B81" s="57">
        <v>6</v>
      </c>
      <c r="C81" s="59">
        <v>1</v>
      </c>
      <c r="D81" s="59">
        <v>1</v>
      </c>
      <c r="E81" s="58">
        <v>0</v>
      </c>
      <c r="F81" s="58">
        <v>18</v>
      </c>
      <c r="G81" s="58">
        <v>3</v>
      </c>
      <c r="H81" s="58">
        <v>5</v>
      </c>
      <c r="I81" s="58">
        <v>19</v>
      </c>
      <c r="J81" s="60">
        <v>2.7142857142857144</v>
      </c>
      <c r="K81" s="58">
        <v>3</v>
      </c>
    </row>
    <row r="82" spans="1:11" ht="25.8" x14ac:dyDescent="0.5">
      <c r="A82" s="56" t="s">
        <v>224</v>
      </c>
      <c r="B82" s="57">
        <v>0</v>
      </c>
      <c r="C82" s="59">
        <v>0</v>
      </c>
      <c r="D82" s="59">
        <v>0</v>
      </c>
      <c r="E82" s="58">
        <v>0</v>
      </c>
      <c r="F82" s="58">
        <v>0</v>
      </c>
      <c r="G82" s="58">
        <v>0</v>
      </c>
      <c r="H82" s="58">
        <v>0</v>
      </c>
      <c r="I82" s="58">
        <v>9</v>
      </c>
      <c r="J82" s="60">
        <v>1.2857142857142858</v>
      </c>
      <c r="K82" s="58">
        <v>1</v>
      </c>
    </row>
    <row r="83" spans="1:11" ht="25.8" x14ac:dyDescent="0.5">
      <c r="A83" s="56" t="s">
        <v>225</v>
      </c>
      <c r="B83" s="57">
        <v>0</v>
      </c>
      <c r="C83" s="59">
        <v>2</v>
      </c>
      <c r="D83" s="59">
        <v>1</v>
      </c>
      <c r="E83" s="58">
        <v>3</v>
      </c>
      <c r="F83" s="58">
        <v>0</v>
      </c>
      <c r="G83" s="58">
        <v>0</v>
      </c>
      <c r="H83" s="58">
        <v>0</v>
      </c>
      <c r="I83" s="58">
        <v>0</v>
      </c>
      <c r="J83" s="60">
        <v>0</v>
      </c>
      <c r="K83" s="58">
        <v>0</v>
      </c>
    </row>
    <row r="84" spans="1:11" ht="25.8" x14ac:dyDescent="0.5">
      <c r="A84" s="56" t="s">
        <v>226</v>
      </c>
      <c r="B84" s="57">
        <v>0</v>
      </c>
      <c r="C84" s="59">
        <v>4</v>
      </c>
      <c r="D84" s="59">
        <v>0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60">
        <v>0</v>
      </c>
      <c r="K84" s="58">
        <v>0</v>
      </c>
    </row>
    <row r="85" spans="1:11" ht="25.8" x14ac:dyDescent="0.5">
      <c r="A85" s="56" t="s">
        <v>227</v>
      </c>
      <c r="B85" s="57">
        <v>0</v>
      </c>
      <c r="C85" s="59">
        <v>0</v>
      </c>
      <c r="D85" s="59">
        <v>0</v>
      </c>
      <c r="E85" s="58">
        <v>2</v>
      </c>
      <c r="F85" s="58">
        <v>1</v>
      </c>
      <c r="G85" s="58">
        <v>0</v>
      </c>
      <c r="H85" s="58">
        <v>0</v>
      </c>
      <c r="I85" s="58">
        <v>8</v>
      </c>
      <c r="J85" s="60">
        <v>1.1428571428571428</v>
      </c>
      <c r="K85" s="58">
        <v>1</v>
      </c>
    </row>
    <row r="86" spans="1:11" ht="25.8" x14ac:dyDescent="0.5">
      <c r="A86" s="56" t="s">
        <v>228</v>
      </c>
      <c r="B86" s="57">
        <v>1</v>
      </c>
      <c r="C86" s="59">
        <v>0</v>
      </c>
      <c r="D86" s="59">
        <v>0</v>
      </c>
      <c r="E86" s="58">
        <v>0</v>
      </c>
      <c r="F86" s="58">
        <v>4</v>
      </c>
      <c r="G86" s="58">
        <v>0</v>
      </c>
      <c r="H86" s="58">
        <v>0</v>
      </c>
      <c r="I86" s="58">
        <v>0</v>
      </c>
      <c r="J86" s="60">
        <v>0</v>
      </c>
      <c r="K86" s="58">
        <v>0</v>
      </c>
    </row>
    <row r="87" spans="1:11" ht="25.8" x14ac:dyDescent="0.5">
      <c r="A87" s="56" t="s">
        <v>229</v>
      </c>
      <c r="B87" s="57">
        <v>7</v>
      </c>
      <c r="C87" s="59">
        <v>2</v>
      </c>
      <c r="D87" s="59">
        <v>1</v>
      </c>
      <c r="E87" s="58">
        <v>3</v>
      </c>
      <c r="F87" s="58">
        <v>4</v>
      </c>
      <c r="G87" s="58">
        <v>1</v>
      </c>
      <c r="H87" s="58">
        <v>1</v>
      </c>
      <c r="I87" s="58">
        <v>10</v>
      </c>
      <c r="J87" s="60">
        <v>1.4285714285714286</v>
      </c>
      <c r="K87" s="58">
        <v>1</v>
      </c>
    </row>
    <row r="88" spans="1:11" ht="25.8" x14ac:dyDescent="0.5">
      <c r="A88" s="56" t="s">
        <v>230</v>
      </c>
      <c r="B88" s="59">
        <v>2</v>
      </c>
      <c r="C88" s="59">
        <v>0</v>
      </c>
      <c r="D88" s="59">
        <v>0</v>
      </c>
      <c r="E88" s="58">
        <v>1</v>
      </c>
      <c r="F88" s="59">
        <v>1</v>
      </c>
      <c r="G88" s="58">
        <v>0</v>
      </c>
      <c r="H88" s="58">
        <v>7</v>
      </c>
      <c r="I88" s="58">
        <v>7</v>
      </c>
      <c r="J88" s="60">
        <v>1</v>
      </c>
      <c r="K88" s="58">
        <v>1</v>
      </c>
    </row>
    <row r="89" spans="1:11" ht="25.8" x14ac:dyDescent="0.5">
      <c r="A89" s="56" t="s">
        <v>231</v>
      </c>
      <c r="B89" s="58">
        <v>1</v>
      </c>
      <c r="C89" s="58">
        <v>2</v>
      </c>
      <c r="D89" s="58">
        <v>1</v>
      </c>
      <c r="E89" s="58">
        <v>0</v>
      </c>
      <c r="F89" s="58">
        <v>4</v>
      </c>
      <c r="G89" s="58">
        <v>0</v>
      </c>
      <c r="H89" s="58">
        <v>1</v>
      </c>
      <c r="I89" s="58">
        <v>0</v>
      </c>
      <c r="J89" s="60">
        <v>0</v>
      </c>
      <c r="K89" s="58">
        <v>0</v>
      </c>
    </row>
    <row r="90" spans="1:11" ht="25.8" x14ac:dyDescent="0.5">
      <c r="A90" s="56" t="s">
        <v>232</v>
      </c>
      <c r="B90" s="58">
        <v>1</v>
      </c>
      <c r="C90" s="58">
        <v>0</v>
      </c>
      <c r="D90" s="58">
        <v>1</v>
      </c>
      <c r="E90" s="58">
        <v>0</v>
      </c>
      <c r="F90" s="58">
        <v>0</v>
      </c>
      <c r="G90" s="58">
        <v>0</v>
      </c>
      <c r="H90" s="58">
        <v>1</v>
      </c>
      <c r="I90" s="58">
        <v>1</v>
      </c>
      <c r="J90" s="60">
        <v>0.14285714285714285</v>
      </c>
      <c r="K90" s="58">
        <v>1</v>
      </c>
    </row>
    <row r="91" spans="1:11" ht="25.8" x14ac:dyDescent="0.5">
      <c r="A91" s="56" t="s">
        <v>233</v>
      </c>
      <c r="B91" s="58">
        <v>1</v>
      </c>
      <c r="C91" s="58">
        <v>3</v>
      </c>
      <c r="D91" s="58">
        <v>0</v>
      </c>
      <c r="E91" s="58">
        <v>3</v>
      </c>
      <c r="F91" s="58">
        <v>2</v>
      </c>
      <c r="G91" s="58">
        <v>0</v>
      </c>
      <c r="H91" s="58">
        <v>4</v>
      </c>
      <c r="I91" s="58">
        <v>13</v>
      </c>
      <c r="J91" s="60">
        <v>1.8571428571428572</v>
      </c>
      <c r="K91" s="58">
        <v>2</v>
      </c>
    </row>
    <row r="92" spans="1:11" ht="25.8" x14ac:dyDescent="0.5">
      <c r="A92" s="61" t="s">
        <v>234</v>
      </c>
      <c r="B92" s="58">
        <v>1</v>
      </c>
      <c r="C92" s="58">
        <v>0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8">
        <v>2</v>
      </c>
      <c r="J92" s="60">
        <v>0.2857142857142857</v>
      </c>
      <c r="K92" s="58">
        <v>1</v>
      </c>
    </row>
    <row r="93" spans="1:11" ht="25.8" x14ac:dyDescent="0.5">
      <c r="A93" s="56" t="s">
        <v>235</v>
      </c>
      <c r="B93" s="58">
        <v>4</v>
      </c>
      <c r="C93" s="58">
        <v>5</v>
      </c>
      <c r="D93" s="58">
        <v>1</v>
      </c>
      <c r="E93" s="58">
        <v>2</v>
      </c>
      <c r="F93" s="58">
        <v>4</v>
      </c>
      <c r="G93" s="58">
        <v>2</v>
      </c>
      <c r="H93" s="58">
        <v>2</v>
      </c>
      <c r="I93" s="58">
        <v>11</v>
      </c>
      <c r="J93" s="60">
        <v>1.5714285714285714</v>
      </c>
      <c r="K93" s="58">
        <v>2</v>
      </c>
    </row>
    <row r="94" spans="1:11" ht="25.8" x14ac:dyDescent="0.5">
      <c r="A94" s="56" t="s">
        <v>236</v>
      </c>
      <c r="B94" s="58">
        <v>0</v>
      </c>
      <c r="C94" s="58">
        <v>2</v>
      </c>
      <c r="D94" s="58">
        <v>2</v>
      </c>
      <c r="E94" s="58">
        <v>3</v>
      </c>
      <c r="F94" s="58">
        <v>0</v>
      </c>
      <c r="G94" s="58">
        <v>0</v>
      </c>
      <c r="H94" s="58">
        <v>1</v>
      </c>
      <c r="I94" s="58">
        <v>1</v>
      </c>
      <c r="J94" s="60">
        <v>0.14285714285714285</v>
      </c>
      <c r="K94" s="58">
        <v>1</v>
      </c>
    </row>
    <row r="95" spans="1:11" ht="25.8" x14ac:dyDescent="0.5">
      <c r="A95" s="56" t="s">
        <v>237</v>
      </c>
      <c r="B95" s="58">
        <v>1</v>
      </c>
      <c r="C95" s="58">
        <v>2</v>
      </c>
      <c r="D95" s="58">
        <v>0</v>
      </c>
      <c r="E95" s="58">
        <v>0</v>
      </c>
      <c r="F95" s="58">
        <v>0</v>
      </c>
      <c r="G95" s="58">
        <v>1</v>
      </c>
      <c r="H95" s="58">
        <v>3</v>
      </c>
      <c r="I95" s="58">
        <v>2</v>
      </c>
      <c r="J95" s="60">
        <v>0.2857142857142857</v>
      </c>
      <c r="K95" s="58">
        <v>1</v>
      </c>
    </row>
    <row r="96" spans="1:11" ht="25.8" x14ac:dyDescent="0.5">
      <c r="A96" s="56" t="s">
        <v>238</v>
      </c>
      <c r="B96" s="58">
        <v>0</v>
      </c>
      <c r="C96" s="58">
        <v>1</v>
      </c>
      <c r="D96" s="58">
        <v>1</v>
      </c>
      <c r="E96" s="58">
        <v>2</v>
      </c>
      <c r="F96" s="58">
        <v>0</v>
      </c>
      <c r="G96" s="58">
        <v>0</v>
      </c>
      <c r="H96" s="58">
        <v>6</v>
      </c>
      <c r="I96" s="58">
        <v>2</v>
      </c>
      <c r="J96" s="60">
        <v>0.2857142857142857</v>
      </c>
      <c r="K96" s="58">
        <v>1</v>
      </c>
    </row>
    <row r="99" spans="1:3" ht="31.2" x14ac:dyDescent="0.6">
      <c r="B99" s="70" t="s">
        <v>243</v>
      </c>
    </row>
    <row r="102" spans="1:3" ht="28.8" x14ac:dyDescent="0.55000000000000004">
      <c r="A102" s="65" t="s">
        <v>0</v>
      </c>
      <c r="B102" s="66" t="s">
        <v>241</v>
      </c>
      <c r="C102" s="67" t="s">
        <v>242</v>
      </c>
    </row>
    <row r="103" spans="1:3" ht="28.8" x14ac:dyDescent="0.55000000000000004">
      <c r="A103" s="68" t="s">
        <v>12</v>
      </c>
      <c r="B103" s="68" t="s">
        <v>245</v>
      </c>
      <c r="C103" s="68" t="s">
        <v>246</v>
      </c>
    </row>
    <row r="104" spans="1:3" ht="28.8" x14ac:dyDescent="0.55000000000000004">
      <c r="A104" s="68" t="s">
        <v>21</v>
      </c>
      <c r="B104" s="68" t="s">
        <v>247</v>
      </c>
      <c r="C104" s="68">
        <v>0</v>
      </c>
    </row>
    <row r="105" spans="1:3" ht="28.8" x14ac:dyDescent="0.55000000000000004">
      <c r="A105" s="68" t="s">
        <v>29</v>
      </c>
      <c r="B105" s="68" t="s">
        <v>244</v>
      </c>
      <c r="C105" s="68">
        <v>0</v>
      </c>
    </row>
    <row r="106" spans="1:3" ht="28.8" x14ac:dyDescent="0.55000000000000004">
      <c r="A106" s="68" t="s">
        <v>37</v>
      </c>
      <c r="B106" s="68" t="s">
        <v>251</v>
      </c>
      <c r="C106" s="68" t="s">
        <v>248</v>
      </c>
    </row>
    <row r="107" spans="1:3" ht="28.8" x14ac:dyDescent="0.55000000000000004">
      <c r="A107" s="68" t="s">
        <v>42</v>
      </c>
      <c r="B107" s="68" t="s">
        <v>252</v>
      </c>
      <c r="C107" s="68" t="s">
        <v>253</v>
      </c>
    </row>
    <row r="108" spans="1:3" ht="28.8" x14ac:dyDescent="0.55000000000000004">
      <c r="A108" s="68" t="s">
        <v>51</v>
      </c>
      <c r="B108" s="68" t="s">
        <v>249</v>
      </c>
      <c r="C108" s="68" t="s">
        <v>250</v>
      </c>
    </row>
    <row r="109" spans="1:3" ht="28.8" x14ac:dyDescent="0.55000000000000004">
      <c r="A109" s="68" t="s">
        <v>53</v>
      </c>
      <c r="B109" s="68">
        <v>0</v>
      </c>
      <c r="C109" s="68">
        <v>0</v>
      </c>
    </row>
    <row r="110" spans="1:3" ht="28.8" x14ac:dyDescent="0.55000000000000004">
      <c r="A110" s="68" t="s">
        <v>60</v>
      </c>
      <c r="B110" s="68" t="s">
        <v>249</v>
      </c>
      <c r="C110" s="68" t="s">
        <v>254</v>
      </c>
    </row>
  </sheetData>
  <mergeCells count="1">
    <mergeCell ref="B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8047-26B5-4C05-9297-19B8124681DB}">
  <dimension ref="A1:L97"/>
  <sheetViews>
    <sheetView zoomScale="57" zoomScaleNormal="58" workbookViewId="0">
      <selection activeCell="L37" sqref="L37"/>
    </sheetView>
  </sheetViews>
  <sheetFormatPr defaultRowHeight="14.4" x14ac:dyDescent="0.3"/>
  <cols>
    <col min="1" max="1" width="61.44140625" bestFit="1" customWidth="1"/>
    <col min="2" max="2" width="97.33203125" customWidth="1"/>
    <col min="3" max="3" width="140.21875" bestFit="1" customWidth="1"/>
    <col min="4" max="4" width="45.33203125" bestFit="1" customWidth="1"/>
    <col min="5" max="5" width="20.21875" bestFit="1" customWidth="1"/>
    <col min="6" max="6" width="88.109375" bestFit="1" customWidth="1"/>
    <col min="7" max="7" width="83.21875" bestFit="1" customWidth="1"/>
    <col min="8" max="8" width="10" bestFit="1" customWidth="1"/>
    <col min="9" max="9" width="14.77734375" bestFit="1" customWidth="1"/>
    <col min="10" max="10" width="44" bestFit="1" customWidth="1"/>
    <col min="11" max="11" width="65" bestFit="1" customWidth="1"/>
    <col min="12" max="12" width="66.77734375" bestFit="1" customWidth="1"/>
  </cols>
  <sheetData>
    <row r="1" spans="1:12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2" x14ac:dyDescent="0.3">
      <c r="A2" s="3" t="s">
        <v>12</v>
      </c>
      <c r="B2" s="35" t="s">
        <v>192</v>
      </c>
      <c r="D2" s="3" t="s">
        <v>261</v>
      </c>
      <c r="E2" s="36" t="s">
        <v>270</v>
      </c>
      <c r="F2" s="73" t="s">
        <v>83</v>
      </c>
      <c r="G2" s="6">
        <v>24</v>
      </c>
      <c r="H2" s="36" t="s">
        <v>263</v>
      </c>
      <c r="I2" s="35" t="s">
        <v>276</v>
      </c>
      <c r="J2" s="6">
        <v>0</v>
      </c>
      <c r="K2" s="8" t="s">
        <v>86</v>
      </c>
    </row>
    <row r="3" spans="1:12" x14ac:dyDescent="0.3">
      <c r="A3" s="3" t="s">
        <v>21</v>
      </c>
      <c r="B3" s="35" t="s">
        <v>264</v>
      </c>
      <c r="D3" s="3" t="s">
        <v>266</v>
      </c>
      <c r="E3" s="36">
        <v>0</v>
      </c>
      <c r="F3" s="73" t="s">
        <v>273</v>
      </c>
      <c r="G3" s="6">
        <v>20</v>
      </c>
      <c r="H3" s="36" t="s">
        <v>263</v>
      </c>
      <c r="I3" s="35" t="s">
        <v>277</v>
      </c>
      <c r="J3" s="6" t="s">
        <v>91</v>
      </c>
      <c r="K3" s="8" t="s">
        <v>92</v>
      </c>
    </row>
    <row r="4" spans="1:12" x14ac:dyDescent="0.3">
      <c r="A4" s="3" t="s">
        <v>29</v>
      </c>
      <c r="B4" s="35" t="s">
        <v>193</v>
      </c>
      <c r="D4" s="3" t="s">
        <v>271</v>
      </c>
      <c r="E4" s="36">
        <v>2</v>
      </c>
      <c r="F4" s="73" t="s">
        <v>274</v>
      </c>
      <c r="G4" s="6">
        <v>14</v>
      </c>
      <c r="H4" s="36" t="s">
        <v>263</v>
      </c>
      <c r="I4" s="35" t="s">
        <v>283</v>
      </c>
      <c r="J4" s="6" t="s">
        <v>98</v>
      </c>
      <c r="K4" s="8" t="s">
        <v>99</v>
      </c>
    </row>
    <row r="5" spans="1:12" x14ac:dyDescent="0.3">
      <c r="A5" s="3" t="s">
        <v>37</v>
      </c>
      <c r="B5" s="35" t="s">
        <v>100</v>
      </c>
      <c r="D5" s="3" t="s">
        <v>101</v>
      </c>
      <c r="E5" s="36" t="s">
        <v>102</v>
      </c>
      <c r="F5" s="73" t="s">
        <v>275</v>
      </c>
      <c r="G5" s="6">
        <v>22</v>
      </c>
      <c r="H5" s="36" t="s">
        <v>263</v>
      </c>
      <c r="I5" s="35" t="s">
        <v>278</v>
      </c>
      <c r="J5" s="6" t="s">
        <v>98</v>
      </c>
      <c r="K5" s="8" t="s">
        <v>105</v>
      </c>
    </row>
    <row r="6" spans="1:12" x14ac:dyDescent="0.3">
      <c r="A6" s="3" t="s">
        <v>42</v>
      </c>
      <c r="B6" s="35" t="s">
        <v>260</v>
      </c>
      <c r="D6" s="3" t="s">
        <v>262</v>
      </c>
      <c r="E6" s="36" t="s">
        <v>272</v>
      </c>
      <c r="F6" s="73" t="s">
        <v>108</v>
      </c>
      <c r="G6" s="6">
        <v>27</v>
      </c>
      <c r="H6" s="36" t="s">
        <v>263</v>
      </c>
      <c r="I6" s="35" t="s">
        <v>279</v>
      </c>
      <c r="J6" s="6" t="s">
        <v>111</v>
      </c>
      <c r="K6" s="8" t="s">
        <v>112</v>
      </c>
    </row>
    <row r="7" spans="1:12" x14ac:dyDescent="0.3">
      <c r="A7" s="3" t="s">
        <v>51</v>
      </c>
      <c r="B7" s="35" t="s">
        <v>113</v>
      </c>
      <c r="D7" s="3" t="s">
        <v>114</v>
      </c>
      <c r="E7" s="36"/>
      <c r="F7" s="73" t="s">
        <v>116</v>
      </c>
      <c r="G7" s="6">
        <v>7</v>
      </c>
      <c r="H7" s="36" t="s">
        <v>263</v>
      </c>
      <c r="I7" s="35" t="s">
        <v>280</v>
      </c>
      <c r="J7" s="6">
        <v>0</v>
      </c>
      <c r="K7" s="8">
        <v>0</v>
      </c>
    </row>
    <row r="8" spans="1:12" x14ac:dyDescent="0.3">
      <c r="A8" s="3" t="s">
        <v>53</v>
      </c>
      <c r="B8" s="35" t="s">
        <v>269</v>
      </c>
      <c r="D8" s="3" t="s">
        <v>267</v>
      </c>
      <c r="E8" s="36"/>
      <c r="F8" s="73" t="s">
        <v>119</v>
      </c>
      <c r="G8" s="6">
        <v>2</v>
      </c>
      <c r="H8" s="36" t="s">
        <v>263</v>
      </c>
      <c r="I8" s="35" t="s">
        <v>121</v>
      </c>
      <c r="J8" s="6"/>
      <c r="K8" s="8" t="s">
        <v>122</v>
      </c>
    </row>
    <row r="9" spans="1:12" x14ac:dyDescent="0.3">
      <c r="A9" s="9" t="s">
        <v>60</v>
      </c>
      <c r="B9" s="35" t="s">
        <v>265</v>
      </c>
      <c r="D9" s="3" t="s">
        <v>268</v>
      </c>
      <c r="E9" s="36" t="s">
        <v>125</v>
      </c>
      <c r="F9" s="73" t="s">
        <v>126</v>
      </c>
      <c r="G9" s="6">
        <v>24</v>
      </c>
      <c r="H9" s="36" t="s">
        <v>263</v>
      </c>
      <c r="I9" s="35" t="s">
        <v>281</v>
      </c>
      <c r="J9" s="6" t="s">
        <v>282</v>
      </c>
      <c r="K9" s="8" t="s">
        <v>130</v>
      </c>
    </row>
    <row r="10" spans="1:12" x14ac:dyDescent="0.3">
      <c r="H10" s="33">
        <f>AVERAGE(G2:G9)</f>
        <v>17.5</v>
      </c>
    </row>
    <row r="11" spans="1:12" x14ac:dyDescent="0.3">
      <c r="H11">
        <f>AVERAGE(G2:G5,G9,G7)</f>
        <v>18.5</v>
      </c>
    </row>
    <row r="14" spans="1:12" ht="38.4" x14ac:dyDescent="0.3">
      <c r="A14" s="11" t="s">
        <v>67</v>
      </c>
      <c r="B14" s="12" t="s">
        <v>12</v>
      </c>
      <c r="C14" s="12" t="s">
        <v>21</v>
      </c>
      <c r="D14" s="12" t="s">
        <v>29</v>
      </c>
      <c r="E14" s="12" t="s">
        <v>37</v>
      </c>
      <c r="F14" s="13" t="s">
        <v>42</v>
      </c>
      <c r="G14" s="12" t="s">
        <v>51</v>
      </c>
      <c r="H14" s="12" t="s">
        <v>53</v>
      </c>
      <c r="I14" s="12" t="s">
        <v>60</v>
      </c>
      <c r="J14" s="14" t="s">
        <v>68</v>
      </c>
      <c r="K14" s="15" t="s">
        <v>69</v>
      </c>
      <c r="L14" s="74" t="s">
        <v>204</v>
      </c>
    </row>
    <row r="15" spans="1:12" ht="38.4" x14ac:dyDescent="0.55000000000000004">
      <c r="A15" s="16" t="s">
        <v>70</v>
      </c>
      <c r="B15" s="17">
        <v>5</v>
      </c>
      <c r="C15" s="18">
        <v>12</v>
      </c>
      <c r="D15" s="18">
        <v>9</v>
      </c>
      <c r="E15" s="19">
        <v>15</v>
      </c>
      <c r="F15" s="18">
        <v>13</v>
      </c>
      <c r="G15" s="18">
        <v>4</v>
      </c>
      <c r="H15" s="18">
        <v>1</v>
      </c>
      <c r="I15" s="20">
        <v>2</v>
      </c>
      <c r="J15" s="21">
        <f>SUM(B15:I15)</f>
        <v>61</v>
      </c>
      <c r="K15" s="22">
        <f>AVERAGE(B15:I15)</f>
        <v>7.625</v>
      </c>
      <c r="L15" s="75">
        <v>8</v>
      </c>
    </row>
    <row r="16" spans="1:12" ht="38.4" x14ac:dyDescent="0.55000000000000004">
      <c r="A16" s="16" t="s">
        <v>71</v>
      </c>
      <c r="B16" s="17">
        <v>2</v>
      </c>
      <c r="C16" s="18">
        <v>2</v>
      </c>
      <c r="D16" s="18">
        <v>5</v>
      </c>
      <c r="E16" s="19">
        <v>3</v>
      </c>
      <c r="F16" s="18">
        <v>5</v>
      </c>
      <c r="G16" s="18">
        <v>0</v>
      </c>
      <c r="H16" s="18">
        <v>1</v>
      </c>
      <c r="I16" s="20">
        <v>2</v>
      </c>
      <c r="J16" s="21">
        <f t="shared" ref="J16:J22" si="0">SUM(B16:I16)</f>
        <v>20</v>
      </c>
      <c r="K16" s="22">
        <f t="shared" ref="K16:K22" si="1">AVERAGE(B16:I16)</f>
        <v>2.5</v>
      </c>
      <c r="L16" s="75">
        <v>3</v>
      </c>
    </row>
    <row r="17" spans="1:12" ht="38.4" x14ac:dyDescent="0.55000000000000004">
      <c r="A17" s="16" t="s">
        <v>72</v>
      </c>
      <c r="B17" s="17">
        <v>2</v>
      </c>
      <c r="C17" s="18">
        <v>2</v>
      </c>
      <c r="D17" s="18">
        <v>3</v>
      </c>
      <c r="E17" s="19">
        <v>2</v>
      </c>
      <c r="F17" s="18">
        <v>5</v>
      </c>
      <c r="G17" s="18">
        <v>1</v>
      </c>
      <c r="H17" s="18">
        <v>0</v>
      </c>
      <c r="I17" s="20">
        <v>13</v>
      </c>
      <c r="J17" s="21">
        <f t="shared" si="0"/>
        <v>28</v>
      </c>
      <c r="K17" s="22">
        <f t="shared" si="1"/>
        <v>3.5</v>
      </c>
      <c r="L17" s="75">
        <v>4</v>
      </c>
    </row>
    <row r="18" spans="1:12" ht="57.6" x14ac:dyDescent="0.55000000000000004">
      <c r="A18" s="16" t="s">
        <v>73</v>
      </c>
      <c r="B18" s="17">
        <v>5</v>
      </c>
      <c r="C18" s="18">
        <v>4</v>
      </c>
      <c r="D18" s="18">
        <v>5</v>
      </c>
      <c r="E18" s="19">
        <v>2</v>
      </c>
      <c r="F18" s="18">
        <v>9</v>
      </c>
      <c r="G18" s="18">
        <v>1</v>
      </c>
      <c r="H18" s="18">
        <v>2</v>
      </c>
      <c r="I18" s="20">
        <v>4</v>
      </c>
      <c r="J18" s="21">
        <f t="shared" si="0"/>
        <v>32</v>
      </c>
      <c r="K18" s="22">
        <f t="shared" si="1"/>
        <v>4</v>
      </c>
      <c r="L18" s="75">
        <v>4</v>
      </c>
    </row>
    <row r="19" spans="1:12" ht="38.4" x14ac:dyDescent="0.55000000000000004">
      <c r="A19" s="16" t="s">
        <v>10</v>
      </c>
      <c r="B19" s="17">
        <v>0</v>
      </c>
      <c r="C19" s="18">
        <v>1</v>
      </c>
      <c r="D19" s="18">
        <v>1</v>
      </c>
      <c r="E19" s="19">
        <v>0</v>
      </c>
      <c r="F19" s="18">
        <v>1</v>
      </c>
      <c r="G19" s="18">
        <v>0</v>
      </c>
      <c r="H19" s="18">
        <v>0</v>
      </c>
      <c r="I19" s="20">
        <v>4</v>
      </c>
      <c r="J19" s="21">
        <f t="shared" si="0"/>
        <v>7</v>
      </c>
      <c r="K19" s="22">
        <f t="shared" si="1"/>
        <v>0.875</v>
      </c>
      <c r="L19" s="75">
        <v>1</v>
      </c>
    </row>
    <row r="20" spans="1:12" ht="38.4" x14ac:dyDescent="0.55000000000000004">
      <c r="A20" s="16" t="s">
        <v>74</v>
      </c>
      <c r="B20" s="17">
        <v>15</v>
      </c>
      <c r="C20" s="18">
        <v>0</v>
      </c>
      <c r="D20" s="18">
        <v>1</v>
      </c>
      <c r="E20" s="19">
        <v>10</v>
      </c>
      <c r="F20" s="18">
        <v>6</v>
      </c>
      <c r="G20" s="18">
        <v>1</v>
      </c>
      <c r="H20" s="18">
        <v>0</v>
      </c>
      <c r="I20" s="20">
        <v>1</v>
      </c>
      <c r="J20" s="21">
        <f t="shared" si="0"/>
        <v>34</v>
      </c>
      <c r="K20" s="22">
        <f t="shared" si="1"/>
        <v>4.25</v>
      </c>
      <c r="L20" s="75">
        <v>5</v>
      </c>
    </row>
    <row r="21" spans="1:12" ht="38.4" x14ac:dyDescent="0.55000000000000004">
      <c r="A21" s="16" t="s">
        <v>75</v>
      </c>
      <c r="B21" s="17">
        <v>0</v>
      </c>
      <c r="C21" s="18">
        <v>4</v>
      </c>
      <c r="D21" s="18">
        <v>1</v>
      </c>
      <c r="E21" s="19">
        <v>12</v>
      </c>
      <c r="F21" s="18">
        <v>0</v>
      </c>
      <c r="G21" s="18">
        <v>1</v>
      </c>
      <c r="H21" s="18">
        <v>1</v>
      </c>
      <c r="I21" s="20">
        <v>9</v>
      </c>
      <c r="J21" s="21">
        <f t="shared" si="0"/>
        <v>28</v>
      </c>
      <c r="K21" s="22">
        <f t="shared" si="1"/>
        <v>3.5</v>
      </c>
      <c r="L21" s="75">
        <v>4</v>
      </c>
    </row>
    <row r="22" spans="1:12" ht="38.4" x14ac:dyDescent="0.55000000000000004">
      <c r="A22" s="16" t="s">
        <v>76</v>
      </c>
      <c r="B22" s="19">
        <v>1</v>
      </c>
      <c r="C22" s="19">
        <v>0</v>
      </c>
      <c r="D22" s="19">
        <v>0</v>
      </c>
      <c r="E22" s="19">
        <v>0</v>
      </c>
      <c r="F22" s="18">
        <v>0</v>
      </c>
      <c r="G22" s="19">
        <v>0</v>
      </c>
      <c r="H22" s="18">
        <v>0</v>
      </c>
      <c r="I22" s="20">
        <v>6</v>
      </c>
      <c r="J22" s="21">
        <f t="shared" si="0"/>
        <v>7</v>
      </c>
      <c r="K22" s="22">
        <f t="shared" si="1"/>
        <v>0.875</v>
      </c>
      <c r="L22" s="75">
        <v>1</v>
      </c>
    </row>
    <row r="23" spans="1:12" ht="23.4" x14ac:dyDescent="0.45">
      <c r="K23" s="76">
        <f>SUM(K15:K22)</f>
        <v>27.125</v>
      </c>
    </row>
    <row r="27" spans="1:12" ht="36.6" x14ac:dyDescent="0.7">
      <c r="F27" s="62" t="s">
        <v>133</v>
      </c>
    </row>
    <row r="30" spans="1:12" ht="68.400000000000006" x14ac:dyDescent="0.3">
      <c r="A30" s="47" t="s">
        <v>222</v>
      </c>
      <c r="B30" s="48" t="s">
        <v>199</v>
      </c>
      <c r="C30" s="49" t="s">
        <v>200</v>
      </c>
      <c r="D30" s="49" t="s">
        <v>240</v>
      </c>
      <c r="E30" s="48" t="s">
        <v>201</v>
      </c>
      <c r="F30" s="49" t="s">
        <v>202</v>
      </c>
      <c r="G30" s="49" t="s">
        <v>221</v>
      </c>
      <c r="H30" s="48" t="s">
        <v>203</v>
      </c>
      <c r="I30" s="48" t="s">
        <v>42</v>
      </c>
      <c r="J30" s="49" t="s">
        <v>68</v>
      </c>
      <c r="K30" s="49" t="s">
        <v>69</v>
      </c>
      <c r="L30" s="49" t="s">
        <v>204</v>
      </c>
    </row>
    <row r="31" spans="1:12" ht="25.8" x14ac:dyDescent="0.5">
      <c r="A31" s="56" t="s">
        <v>223</v>
      </c>
      <c r="B31" s="57">
        <v>7</v>
      </c>
      <c r="C31" s="59">
        <v>2</v>
      </c>
      <c r="D31" s="59">
        <v>1</v>
      </c>
      <c r="E31" s="58">
        <v>1</v>
      </c>
      <c r="F31" s="58">
        <v>13</v>
      </c>
      <c r="G31" s="58">
        <v>1</v>
      </c>
      <c r="H31" s="58">
        <v>4</v>
      </c>
      <c r="I31" s="58">
        <v>5</v>
      </c>
      <c r="J31" s="58">
        <v>19</v>
      </c>
      <c r="K31" s="60">
        <v>2.7142857142857144</v>
      </c>
      <c r="L31" s="58">
        <v>3</v>
      </c>
    </row>
    <row r="32" spans="1:12" ht="25.8" x14ac:dyDescent="0.5">
      <c r="A32" s="56" t="s">
        <v>224</v>
      </c>
      <c r="B32" s="57">
        <v>0</v>
      </c>
      <c r="C32" s="59">
        <v>0</v>
      </c>
      <c r="D32" s="59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9</v>
      </c>
      <c r="K32" s="60">
        <v>1.2857142857142858</v>
      </c>
      <c r="L32" s="58">
        <v>1</v>
      </c>
    </row>
    <row r="33" spans="1:12" ht="25.8" x14ac:dyDescent="0.5">
      <c r="A33" s="56" t="s">
        <v>225</v>
      </c>
      <c r="B33" s="57">
        <v>0</v>
      </c>
      <c r="C33" s="59">
        <v>2</v>
      </c>
      <c r="D33" s="59">
        <v>0</v>
      </c>
      <c r="E33" s="58">
        <v>2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60">
        <v>0</v>
      </c>
      <c r="L33" s="58">
        <v>0</v>
      </c>
    </row>
    <row r="34" spans="1:12" ht="25.8" x14ac:dyDescent="0.5">
      <c r="A34" s="56" t="s">
        <v>226</v>
      </c>
      <c r="B34" s="57">
        <v>0</v>
      </c>
      <c r="C34" s="59">
        <v>4</v>
      </c>
      <c r="D34" s="59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60">
        <v>0</v>
      </c>
      <c r="L34" s="58">
        <v>0</v>
      </c>
    </row>
    <row r="35" spans="1:12" ht="25.8" x14ac:dyDescent="0.5">
      <c r="A35" s="56" t="s">
        <v>227</v>
      </c>
      <c r="B35" s="57">
        <v>0</v>
      </c>
      <c r="C35" s="59">
        <v>0</v>
      </c>
      <c r="D35" s="59">
        <v>0</v>
      </c>
      <c r="E35" s="58">
        <v>0</v>
      </c>
      <c r="F35" s="58">
        <v>1</v>
      </c>
      <c r="G35" s="58">
        <v>0</v>
      </c>
      <c r="H35" s="58">
        <v>0</v>
      </c>
      <c r="I35" s="58">
        <v>0</v>
      </c>
      <c r="J35" s="58">
        <v>8</v>
      </c>
      <c r="K35" s="60">
        <v>1.1428571428571428</v>
      </c>
      <c r="L35" s="58">
        <v>1</v>
      </c>
    </row>
    <row r="36" spans="1:12" ht="25.8" x14ac:dyDescent="0.5">
      <c r="A36" s="56" t="s">
        <v>228</v>
      </c>
      <c r="B36" s="57">
        <v>0</v>
      </c>
      <c r="C36" s="59">
        <v>2</v>
      </c>
      <c r="D36" s="59">
        <v>0</v>
      </c>
      <c r="E36" s="58">
        <v>0</v>
      </c>
      <c r="F36" s="58">
        <v>4</v>
      </c>
      <c r="G36" s="58">
        <v>0</v>
      </c>
      <c r="H36" s="58">
        <v>0</v>
      </c>
      <c r="I36" s="58">
        <v>0</v>
      </c>
      <c r="J36" s="58">
        <v>0</v>
      </c>
      <c r="K36" s="60">
        <v>0</v>
      </c>
      <c r="L36" s="58">
        <v>0</v>
      </c>
    </row>
    <row r="37" spans="1:12" ht="25.8" x14ac:dyDescent="0.5">
      <c r="A37" s="56" t="s">
        <v>229</v>
      </c>
      <c r="B37" s="57">
        <v>9</v>
      </c>
      <c r="C37" s="59">
        <v>1</v>
      </c>
      <c r="D37" s="59">
        <v>0</v>
      </c>
      <c r="E37" s="58">
        <v>3</v>
      </c>
      <c r="F37" s="58">
        <v>3</v>
      </c>
      <c r="G37" s="58">
        <v>0</v>
      </c>
      <c r="H37" s="58">
        <v>1</v>
      </c>
      <c r="I37" s="58">
        <v>1</v>
      </c>
      <c r="J37" s="58">
        <v>10</v>
      </c>
      <c r="K37" s="60">
        <v>1.4285714285714286</v>
      </c>
      <c r="L37" s="58">
        <v>1</v>
      </c>
    </row>
    <row r="38" spans="1:12" ht="25.8" x14ac:dyDescent="0.5">
      <c r="A38" s="56" t="s">
        <v>230</v>
      </c>
      <c r="B38" s="59">
        <v>0</v>
      </c>
      <c r="C38" s="59">
        <v>0</v>
      </c>
      <c r="D38" s="59">
        <v>0</v>
      </c>
      <c r="E38" s="58">
        <v>0</v>
      </c>
      <c r="F38" s="59">
        <v>0</v>
      </c>
      <c r="G38" s="59">
        <v>0</v>
      </c>
      <c r="H38" s="58">
        <v>0</v>
      </c>
      <c r="I38" s="58">
        <v>7</v>
      </c>
      <c r="J38" s="58">
        <v>7</v>
      </c>
      <c r="K38" s="60">
        <v>1</v>
      </c>
      <c r="L38" s="58">
        <v>1</v>
      </c>
    </row>
    <row r="39" spans="1:12" ht="25.8" x14ac:dyDescent="0.5">
      <c r="A39" s="56" t="s">
        <v>231</v>
      </c>
      <c r="B39" s="58">
        <v>1</v>
      </c>
      <c r="C39" s="58">
        <v>2</v>
      </c>
      <c r="D39" s="58">
        <v>1</v>
      </c>
      <c r="E39" s="58">
        <v>0</v>
      </c>
      <c r="F39" s="58">
        <v>4</v>
      </c>
      <c r="G39" s="58">
        <v>0</v>
      </c>
      <c r="H39" s="58">
        <v>1</v>
      </c>
      <c r="I39" s="58">
        <v>1</v>
      </c>
      <c r="J39" s="58">
        <v>0</v>
      </c>
      <c r="K39" s="60">
        <v>0</v>
      </c>
      <c r="L39" s="58">
        <v>0</v>
      </c>
    </row>
    <row r="40" spans="1:12" ht="25.8" x14ac:dyDescent="0.5">
      <c r="A40" s="56" t="s">
        <v>232</v>
      </c>
      <c r="B40" s="58">
        <v>1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1</v>
      </c>
      <c r="I40" s="58">
        <v>1</v>
      </c>
      <c r="J40" s="58">
        <v>1</v>
      </c>
      <c r="K40" s="60">
        <v>0.14285714285714285</v>
      </c>
      <c r="L40" s="58">
        <v>1</v>
      </c>
    </row>
    <row r="41" spans="1:12" ht="25.8" x14ac:dyDescent="0.5">
      <c r="A41" s="56" t="s">
        <v>233</v>
      </c>
      <c r="B41" s="58">
        <v>1</v>
      </c>
      <c r="C41" s="58">
        <v>3</v>
      </c>
      <c r="D41" s="58">
        <v>0</v>
      </c>
      <c r="E41" s="58">
        <v>2</v>
      </c>
      <c r="F41" s="58">
        <v>0</v>
      </c>
      <c r="G41" s="58">
        <v>0</v>
      </c>
      <c r="H41" s="58">
        <v>0</v>
      </c>
      <c r="I41" s="58">
        <v>4</v>
      </c>
      <c r="J41" s="58">
        <v>13</v>
      </c>
      <c r="K41" s="60">
        <v>1.8571428571428572</v>
      </c>
      <c r="L41" s="58">
        <v>2</v>
      </c>
    </row>
    <row r="42" spans="1:12" ht="51.6" x14ac:dyDescent="0.5">
      <c r="A42" s="61" t="s">
        <v>234</v>
      </c>
      <c r="B42" s="58">
        <v>1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2</v>
      </c>
      <c r="K42" s="60">
        <v>0.2857142857142857</v>
      </c>
      <c r="L42" s="58">
        <v>1</v>
      </c>
    </row>
    <row r="43" spans="1:12" ht="25.8" x14ac:dyDescent="0.5">
      <c r="A43" s="56" t="s">
        <v>235</v>
      </c>
      <c r="B43" s="58">
        <v>4</v>
      </c>
      <c r="C43" s="58">
        <v>5</v>
      </c>
      <c r="D43" s="58">
        <v>0</v>
      </c>
      <c r="E43" s="58">
        <v>1</v>
      </c>
      <c r="F43" s="58">
        <v>4</v>
      </c>
      <c r="G43" s="58">
        <v>1</v>
      </c>
      <c r="H43" s="58">
        <v>1</v>
      </c>
      <c r="I43" s="58">
        <v>2</v>
      </c>
      <c r="J43" s="58">
        <v>11</v>
      </c>
      <c r="K43" s="60">
        <v>1.5714285714285714</v>
      </c>
      <c r="L43" s="58">
        <v>2</v>
      </c>
    </row>
    <row r="44" spans="1:12" ht="25.8" x14ac:dyDescent="0.5">
      <c r="A44" s="56" t="s">
        <v>236</v>
      </c>
      <c r="B44" s="58">
        <v>0</v>
      </c>
      <c r="C44" s="58">
        <v>1</v>
      </c>
      <c r="D44" s="58">
        <v>0</v>
      </c>
      <c r="E44" s="58">
        <v>1</v>
      </c>
      <c r="F44" s="58">
        <v>0</v>
      </c>
      <c r="G44" s="58">
        <v>0</v>
      </c>
      <c r="H44" s="58">
        <v>1</v>
      </c>
      <c r="I44" s="58">
        <v>1</v>
      </c>
      <c r="J44" s="58">
        <v>1</v>
      </c>
      <c r="K44" s="60">
        <v>0.14285714285714285</v>
      </c>
      <c r="L44" s="58">
        <v>1</v>
      </c>
    </row>
    <row r="45" spans="1:12" ht="25.8" x14ac:dyDescent="0.5">
      <c r="A45" s="56" t="s">
        <v>237</v>
      </c>
      <c r="B45" s="58">
        <v>3</v>
      </c>
      <c r="C45" s="58">
        <v>1</v>
      </c>
      <c r="D45" s="58">
        <v>0</v>
      </c>
      <c r="E45" s="58">
        <v>0</v>
      </c>
      <c r="F45" s="58">
        <v>0</v>
      </c>
      <c r="G45" s="58">
        <v>0</v>
      </c>
      <c r="H45" s="58">
        <v>1</v>
      </c>
      <c r="I45" s="58">
        <v>3</v>
      </c>
      <c r="J45" s="58">
        <v>2</v>
      </c>
      <c r="K45" s="60">
        <v>0.2857142857142857</v>
      </c>
      <c r="L45" s="58">
        <v>1</v>
      </c>
    </row>
    <row r="46" spans="1:12" ht="25.8" x14ac:dyDescent="0.5">
      <c r="A46" s="56" t="s">
        <v>238</v>
      </c>
      <c r="B46" s="58">
        <v>0</v>
      </c>
      <c r="C46" s="58">
        <v>0</v>
      </c>
      <c r="D46" s="58">
        <v>0</v>
      </c>
      <c r="E46" s="58">
        <v>1</v>
      </c>
      <c r="F46" s="58">
        <v>0</v>
      </c>
      <c r="G46" s="58">
        <v>0</v>
      </c>
      <c r="H46" s="58">
        <v>1</v>
      </c>
      <c r="I46" s="58">
        <v>6</v>
      </c>
      <c r="J46" s="58">
        <v>2</v>
      </c>
      <c r="K46" s="60">
        <v>0.2857142857142857</v>
      </c>
      <c r="L46" s="58">
        <v>1</v>
      </c>
    </row>
    <row r="52" spans="1:12" ht="28.8" x14ac:dyDescent="0.55000000000000004">
      <c r="D52" s="72"/>
      <c r="F52" s="72"/>
    </row>
    <row r="58" spans="1:12" ht="28.8" x14ac:dyDescent="0.55000000000000004">
      <c r="F58" s="64" t="s">
        <v>239</v>
      </c>
    </row>
    <row r="60" spans="1:12" ht="28.8" x14ac:dyDescent="0.55000000000000004">
      <c r="C60" s="72"/>
      <c r="E60" s="72"/>
      <c r="K60" s="3" t="s">
        <v>196</v>
      </c>
      <c r="L60" s="33" t="e">
        <f>AVERAGE(L51:L58)</f>
        <v>#DIV/0!</v>
      </c>
    </row>
    <row r="61" spans="1:12" ht="45.6" x14ac:dyDescent="0.3">
      <c r="A61" s="47" t="s">
        <v>198</v>
      </c>
      <c r="B61" s="48" t="s">
        <v>199</v>
      </c>
      <c r="C61" s="49" t="s">
        <v>200</v>
      </c>
      <c r="D61" s="48" t="s">
        <v>201</v>
      </c>
      <c r="E61" s="49" t="s">
        <v>202</v>
      </c>
      <c r="F61" s="49" t="s">
        <v>240</v>
      </c>
      <c r="G61" s="49" t="s">
        <v>221</v>
      </c>
      <c r="H61" s="49" t="s">
        <v>42</v>
      </c>
      <c r="I61" s="48" t="s">
        <v>203</v>
      </c>
      <c r="J61" s="49" t="s">
        <v>68</v>
      </c>
      <c r="K61" s="49" t="s">
        <v>69</v>
      </c>
      <c r="L61" s="49" t="s">
        <v>204</v>
      </c>
    </row>
    <row r="62" spans="1:12" ht="23.4" x14ac:dyDescent="0.45">
      <c r="A62" s="50" t="s">
        <v>205</v>
      </c>
      <c r="B62" s="49">
        <v>12</v>
      </c>
      <c r="C62" s="52">
        <v>6</v>
      </c>
      <c r="D62" s="51">
        <v>9</v>
      </c>
      <c r="E62" s="51">
        <v>6</v>
      </c>
      <c r="F62" s="51">
        <v>10</v>
      </c>
      <c r="G62" s="51">
        <v>3</v>
      </c>
      <c r="H62" s="51">
        <v>7</v>
      </c>
      <c r="I62" s="51">
        <v>8</v>
      </c>
      <c r="J62" s="69">
        <f t="shared" ref="J62:J77" si="2">SUM(B62:I62)</f>
        <v>61</v>
      </c>
      <c r="K62" s="53">
        <f>AVERAGE(B62:I62)</f>
        <v>7.625</v>
      </c>
      <c r="L62" s="51">
        <v>9</v>
      </c>
    </row>
    <row r="63" spans="1:12" ht="23.4" x14ac:dyDescent="0.45">
      <c r="A63" s="50" t="s">
        <v>206</v>
      </c>
      <c r="B63" s="49">
        <v>3</v>
      </c>
      <c r="C63" s="52">
        <v>0</v>
      </c>
      <c r="D63" s="51">
        <v>0</v>
      </c>
      <c r="E63" s="51">
        <v>5</v>
      </c>
      <c r="F63" s="51">
        <v>2</v>
      </c>
      <c r="G63" s="51">
        <v>0</v>
      </c>
      <c r="H63" s="51">
        <v>2</v>
      </c>
      <c r="I63" s="51">
        <v>0</v>
      </c>
      <c r="J63" s="51">
        <f t="shared" si="2"/>
        <v>12</v>
      </c>
      <c r="K63" s="53">
        <f t="shared" ref="K63:K77" si="3">AVERAGE(B63:I63)</f>
        <v>1.5</v>
      </c>
      <c r="L63" s="51">
        <v>2</v>
      </c>
    </row>
    <row r="64" spans="1:12" ht="23.4" x14ac:dyDescent="0.45">
      <c r="A64" s="50" t="s">
        <v>207</v>
      </c>
      <c r="B64" s="49">
        <v>3</v>
      </c>
      <c r="C64" s="52">
        <v>2</v>
      </c>
      <c r="D64" s="51">
        <v>0</v>
      </c>
      <c r="E64" s="51">
        <v>3</v>
      </c>
      <c r="F64" s="51">
        <v>2</v>
      </c>
      <c r="G64" s="51">
        <v>2</v>
      </c>
      <c r="H64" s="51">
        <v>0</v>
      </c>
      <c r="I64" s="51">
        <v>0</v>
      </c>
      <c r="J64" s="51">
        <f t="shared" si="2"/>
        <v>12</v>
      </c>
      <c r="K64" s="53">
        <f t="shared" si="3"/>
        <v>1.5</v>
      </c>
      <c r="L64" s="51">
        <v>3</v>
      </c>
    </row>
    <row r="65" spans="1:12" ht="23.4" x14ac:dyDescent="0.45">
      <c r="A65" s="50" t="s">
        <v>208</v>
      </c>
      <c r="B65" s="49">
        <v>7</v>
      </c>
      <c r="C65" s="52">
        <v>1</v>
      </c>
      <c r="D65" s="51">
        <v>1</v>
      </c>
      <c r="E65" s="51">
        <v>2</v>
      </c>
      <c r="F65" s="51">
        <v>1</v>
      </c>
      <c r="G65" s="51">
        <v>0</v>
      </c>
      <c r="H65" s="51">
        <v>3</v>
      </c>
      <c r="I65" s="51">
        <v>0</v>
      </c>
      <c r="J65" s="51">
        <f t="shared" si="2"/>
        <v>15</v>
      </c>
      <c r="K65" s="53">
        <f t="shared" si="3"/>
        <v>1.875</v>
      </c>
      <c r="L65" s="51">
        <v>3</v>
      </c>
    </row>
    <row r="66" spans="1:12" ht="23.4" x14ac:dyDescent="0.45">
      <c r="A66" s="50" t="s">
        <v>209</v>
      </c>
      <c r="B66" s="49">
        <v>6</v>
      </c>
      <c r="C66" s="52">
        <v>1</v>
      </c>
      <c r="D66" s="51">
        <v>1</v>
      </c>
      <c r="E66" s="51">
        <v>3</v>
      </c>
      <c r="F66" s="51">
        <v>1</v>
      </c>
      <c r="G66" s="51">
        <v>0</v>
      </c>
      <c r="H66" s="51">
        <v>3</v>
      </c>
      <c r="I66" s="51">
        <v>0</v>
      </c>
      <c r="J66" s="51">
        <f t="shared" si="2"/>
        <v>15</v>
      </c>
      <c r="K66" s="53">
        <f t="shared" si="3"/>
        <v>1.875</v>
      </c>
      <c r="L66" s="51">
        <v>3</v>
      </c>
    </row>
    <row r="67" spans="1:12" ht="23.4" x14ac:dyDescent="0.45">
      <c r="A67" s="50" t="s">
        <v>210</v>
      </c>
      <c r="B67" s="49">
        <v>2</v>
      </c>
      <c r="C67" s="52">
        <v>1</v>
      </c>
      <c r="D67" s="51">
        <v>1</v>
      </c>
      <c r="E67" s="51">
        <v>3</v>
      </c>
      <c r="F67" s="51">
        <v>0</v>
      </c>
      <c r="G67" s="51">
        <v>0</v>
      </c>
      <c r="H67" s="51">
        <v>3</v>
      </c>
      <c r="I67" s="51">
        <v>0</v>
      </c>
      <c r="J67" s="51">
        <f t="shared" si="2"/>
        <v>10</v>
      </c>
      <c r="K67" s="53">
        <f t="shared" si="3"/>
        <v>1.25</v>
      </c>
      <c r="L67" s="51">
        <v>2</v>
      </c>
    </row>
    <row r="68" spans="1:12" ht="23.4" x14ac:dyDescent="0.45">
      <c r="A68" s="50" t="s">
        <v>211</v>
      </c>
      <c r="B68" s="49">
        <v>0</v>
      </c>
      <c r="C68" s="52">
        <v>0</v>
      </c>
      <c r="D68" s="51">
        <v>0</v>
      </c>
      <c r="E68" s="51">
        <v>2</v>
      </c>
      <c r="F68" s="51">
        <v>0</v>
      </c>
      <c r="G68" s="51">
        <v>0</v>
      </c>
      <c r="H68" s="51">
        <v>0</v>
      </c>
      <c r="I68" s="51">
        <v>0</v>
      </c>
      <c r="J68" s="51">
        <f t="shared" si="2"/>
        <v>2</v>
      </c>
      <c r="K68" s="53">
        <f t="shared" si="3"/>
        <v>0.25</v>
      </c>
      <c r="L68" s="51">
        <v>0</v>
      </c>
    </row>
    <row r="69" spans="1:12" ht="23.4" x14ac:dyDescent="0.45">
      <c r="A69" s="55" t="s">
        <v>212</v>
      </c>
      <c r="B69" s="49">
        <v>3</v>
      </c>
      <c r="C69" s="52">
        <v>1</v>
      </c>
      <c r="D69" s="51">
        <v>0</v>
      </c>
      <c r="E69" s="52">
        <v>3</v>
      </c>
      <c r="F69" s="52">
        <v>0</v>
      </c>
      <c r="G69" s="52">
        <v>1</v>
      </c>
      <c r="H69" s="52">
        <v>0</v>
      </c>
      <c r="I69" s="51">
        <v>0</v>
      </c>
      <c r="J69" s="51">
        <f t="shared" si="2"/>
        <v>8</v>
      </c>
      <c r="K69" s="53">
        <f t="shared" si="3"/>
        <v>1</v>
      </c>
      <c r="L69" s="51">
        <v>1</v>
      </c>
    </row>
    <row r="70" spans="1:12" ht="23.4" x14ac:dyDescent="0.45">
      <c r="A70" s="50" t="s">
        <v>213</v>
      </c>
      <c r="B70" s="49">
        <v>0</v>
      </c>
      <c r="C70" s="52">
        <v>0</v>
      </c>
      <c r="D70" s="51">
        <v>0</v>
      </c>
      <c r="E70" s="51">
        <v>3</v>
      </c>
      <c r="F70" s="51">
        <v>0</v>
      </c>
      <c r="G70" s="51">
        <v>0</v>
      </c>
      <c r="H70" s="51">
        <v>0</v>
      </c>
      <c r="I70" s="51">
        <v>0</v>
      </c>
      <c r="J70" s="51">
        <f t="shared" si="2"/>
        <v>3</v>
      </c>
      <c r="K70" s="53">
        <f t="shared" si="3"/>
        <v>0.375</v>
      </c>
      <c r="L70" s="51">
        <v>0</v>
      </c>
    </row>
    <row r="71" spans="1:12" ht="23.4" x14ac:dyDescent="0.45">
      <c r="A71" s="50" t="s">
        <v>214</v>
      </c>
      <c r="B71" s="49">
        <v>1</v>
      </c>
      <c r="C71" s="52">
        <v>1</v>
      </c>
      <c r="D71" s="51">
        <v>1</v>
      </c>
      <c r="E71" s="51">
        <v>2</v>
      </c>
      <c r="F71" s="51">
        <v>2</v>
      </c>
      <c r="G71" s="51">
        <v>0</v>
      </c>
      <c r="H71" s="51">
        <v>2</v>
      </c>
      <c r="I71" s="51">
        <v>0</v>
      </c>
      <c r="J71" s="51">
        <f t="shared" si="2"/>
        <v>9</v>
      </c>
      <c r="K71" s="53">
        <f t="shared" si="3"/>
        <v>1.125</v>
      </c>
      <c r="L71" s="51">
        <v>2</v>
      </c>
    </row>
    <row r="72" spans="1:12" ht="23.4" x14ac:dyDescent="0.45">
      <c r="A72" s="50" t="s">
        <v>215</v>
      </c>
      <c r="B72" s="51">
        <v>2</v>
      </c>
      <c r="C72" s="52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f t="shared" si="2"/>
        <v>2</v>
      </c>
      <c r="K72" s="53">
        <f t="shared" si="3"/>
        <v>0.25</v>
      </c>
      <c r="L72" s="51">
        <v>1</v>
      </c>
    </row>
    <row r="73" spans="1:12" ht="23.4" x14ac:dyDescent="0.45">
      <c r="A73" s="50" t="s">
        <v>216</v>
      </c>
      <c r="B73" s="51">
        <v>5</v>
      </c>
      <c r="C73" s="52">
        <v>0</v>
      </c>
      <c r="D73" s="51">
        <v>0</v>
      </c>
      <c r="E73" s="51">
        <v>2</v>
      </c>
      <c r="F73" s="51">
        <v>2</v>
      </c>
      <c r="G73" s="51">
        <v>1</v>
      </c>
      <c r="H73" s="51">
        <v>6</v>
      </c>
      <c r="I73" s="51">
        <v>0</v>
      </c>
      <c r="J73" s="51">
        <f t="shared" si="2"/>
        <v>16</v>
      </c>
      <c r="K73" s="53">
        <f t="shared" si="3"/>
        <v>2</v>
      </c>
      <c r="L73" s="51">
        <v>3</v>
      </c>
    </row>
    <row r="74" spans="1:12" ht="23.4" x14ac:dyDescent="0.45">
      <c r="A74" s="50" t="s">
        <v>217</v>
      </c>
      <c r="B74" s="51">
        <v>1</v>
      </c>
      <c r="C74" s="52">
        <v>0</v>
      </c>
      <c r="D74" s="51">
        <v>0</v>
      </c>
      <c r="E74" s="51">
        <v>4</v>
      </c>
      <c r="F74" s="51">
        <v>3</v>
      </c>
      <c r="G74" s="51">
        <v>2</v>
      </c>
      <c r="H74" s="51">
        <v>3</v>
      </c>
      <c r="I74" s="51">
        <v>1</v>
      </c>
      <c r="J74" s="51">
        <f t="shared" si="2"/>
        <v>14</v>
      </c>
      <c r="K74" s="53">
        <f t="shared" si="3"/>
        <v>1.75</v>
      </c>
      <c r="L74" s="51">
        <v>3</v>
      </c>
    </row>
    <row r="75" spans="1:12" ht="23.4" x14ac:dyDescent="0.45">
      <c r="A75" s="50" t="s">
        <v>218</v>
      </c>
      <c r="B75" s="51">
        <v>0</v>
      </c>
      <c r="C75" s="51">
        <v>4</v>
      </c>
      <c r="D75" s="51">
        <v>0</v>
      </c>
      <c r="E75" s="51">
        <v>0</v>
      </c>
      <c r="F75" s="51">
        <v>2</v>
      </c>
      <c r="G75" s="51">
        <v>0</v>
      </c>
      <c r="H75" s="51">
        <v>1</v>
      </c>
      <c r="I75" s="51">
        <v>0</v>
      </c>
      <c r="J75" s="51">
        <f t="shared" si="2"/>
        <v>7</v>
      </c>
      <c r="K75" s="53">
        <f t="shared" si="3"/>
        <v>0.875</v>
      </c>
      <c r="L75" s="51">
        <v>1</v>
      </c>
    </row>
    <row r="76" spans="1:12" ht="23.4" x14ac:dyDescent="0.45">
      <c r="A76" s="50" t="s">
        <v>219</v>
      </c>
      <c r="B76" s="51">
        <v>3</v>
      </c>
      <c r="C76" s="51">
        <v>1</v>
      </c>
      <c r="D76" s="51">
        <v>0</v>
      </c>
      <c r="E76" s="51">
        <v>3</v>
      </c>
      <c r="F76" s="51">
        <v>1</v>
      </c>
      <c r="G76" s="51">
        <v>0</v>
      </c>
      <c r="H76" s="51">
        <v>1</v>
      </c>
      <c r="I76" s="51">
        <v>0</v>
      </c>
      <c r="J76" s="51">
        <f t="shared" si="2"/>
        <v>9</v>
      </c>
      <c r="K76" s="53">
        <f t="shared" si="3"/>
        <v>1.125</v>
      </c>
      <c r="L76" s="51">
        <v>1</v>
      </c>
    </row>
    <row r="77" spans="1:12" ht="23.4" x14ac:dyDescent="0.45">
      <c r="A77" s="54" t="s">
        <v>220</v>
      </c>
      <c r="B77" s="51">
        <v>0</v>
      </c>
      <c r="C77" s="51">
        <v>9</v>
      </c>
      <c r="D77" s="51">
        <v>11</v>
      </c>
      <c r="E77" s="51">
        <v>0</v>
      </c>
      <c r="F77" s="51">
        <v>6</v>
      </c>
      <c r="G77" s="51">
        <v>0</v>
      </c>
      <c r="H77" s="51">
        <v>19</v>
      </c>
      <c r="I77" s="51">
        <v>3</v>
      </c>
      <c r="J77" s="69">
        <f t="shared" si="2"/>
        <v>48</v>
      </c>
      <c r="K77" s="53">
        <f t="shared" si="3"/>
        <v>6</v>
      </c>
      <c r="L77" s="51">
        <v>6</v>
      </c>
    </row>
    <row r="89" spans="1:3" ht="28.8" x14ac:dyDescent="0.55000000000000004">
      <c r="A89" s="65" t="s">
        <v>0</v>
      </c>
      <c r="B89" s="66" t="s">
        <v>241</v>
      </c>
      <c r="C89" s="67" t="s">
        <v>242</v>
      </c>
    </row>
    <row r="90" spans="1:3" ht="28.8" x14ac:dyDescent="0.55000000000000004">
      <c r="A90" s="68" t="s">
        <v>12</v>
      </c>
      <c r="B90" s="68" t="s">
        <v>285</v>
      </c>
      <c r="C90" s="68" t="s">
        <v>286</v>
      </c>
    </row>
    <row r="91" spans="1:3" ht="28.8" x14ac:dyDescent="0.55000000000000004">
      <c r="A91" s="68" t="s">
        <v>21</v>
      </c>
      <c r="B91" s="68" t="s">
        <v>284</v>
      </c>
      <c r="C91" s="68" t="s">
        <v>250</v>
      </c>
    </row>
    <row r="92" spans="1:3" ht="28.8" x14ac:dyDescent="0.55000000000000004">
      <c r="A92" s="68" t="s">
        <v>29</v>
      </c>
      <c r="B92" s="68" t="s">
        <v>244</v>
      </c>
      <c r="C92" s="68">
        <v>0</v>
      </c>
    </row>
    <row r="93" spans="1:3" ht="28.8" x14ac:dyDescent="0.55000000000000004">
      <c r="A93" s="68" t="s">
        <v>37</v>
      </c>
      <c r="B93" s="68" t="s">
        <v>251</v>
      </c>
      <c r="C93" s="68" t="s">
        <v>248</v>
      </c>
    </row>
    <row r="94" spans="1:3" ht="28.8" x14ac:dyDescent="0.55000000000000004">
      <c r="A94" s="68" t="s">
        <v>42</v>
      </c>
      <c r="B94" s="68" t="s">
        <v>252</v>
      </c>
      <c r="C94" s="68" t="s">
        <v>253</v>
      </c>
    </row>
    <row r="95" spans="1:3" ht="28.8" x14ac:dyDescent="0.55000000000000004">
      <c r="A95" s="68" t="s">
        <v>51</v>
      </c>
      <c r="B95" s="68"/>
      <c r="C95" s="68" t="s">
        <v>250</v>
      </c>
    </row>
    <row r="96" spans="1:3" ht="28.8" x14ac:dyDescent="0.55000000000000004">
      <c r="A96" s="68" t="s">
        <v>53</v>
      </c>
      <c r="B96" s="68">
        <v>0</v>
      </c>
      <c r="C96" s="68">
        <v>0</v>
      </c>
    </row>
    <row r="97" spans="1:3" ht="28.8" x14ac:dyDescent="0.55000000000000004">
      <c r="A97" s="68" t="s">
        <v>60</v>
      </c>
      <c r="B97" s="68" t="s">
        <v>249</v>
      </c>
      <c r="C97" s="68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CCBE-E18F-40EC-8192-2037F5AA2455}">
  <dimension ref="A1:N88"/>
  <sheetViews>
    <sheetView tabSelected="1" zoomScale="69" workbookViewId="0">
      <selection activeCell="I54" sqref="I54"/>
    </sheetView>
  </sheetViews>
  <sheetFormatPr defaultRowHeight="14.4" x14ac:dyDescent="0.3"/>
  <cols>
    <col min="1" max="1" width="64.5546875" bestFit="1" customWidth="1"/>
    <col min="2" max="2" width="24.77734375" bestFit="1" customWidth="1"/>
    <col min="3" max="3" width="25.77734375" bestFit="1" customWidth="1"/>
    <col min="4" max="4" width="10.44140625" bestFit="1" customWidth="1"/>
    <col min="5" max="5" width="14.44140625" bestFit="1" customWidth="1"/>
    <col min="6" max="6" width="27.109375" bestFit="1" customWidth="1"/>
    <col min="7" max="7" width="14" bestFit="1" customWidth="1"/>
    <col min="8" max="8" width="13.44140625" customWidth="1"/>
    <col min="9" max="9" width="15.6640625" bestFit="1" customWidth="1"/>
    <col min="10" max="10" width="18.21875" bestFit="1" customWidth="1"/>
    <col min="11" max="11" width="12.6640625" customWidth="1"/>
    <col min="12" max="12" width="22.6640625" bestFit="1" customWidth="1"/>
    <col min="13" max="13" width="6.6640625" bestFit="1" customWidth="1"/>
  </cols>
  <sheetData>
    <row r="1" spans="1:14" ht="15.6" x14ac:dyDescent="0.3">
      <c r="A1" s="80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100" t="s">
        <v>11</v>
      </c>
      <c r="M1" s="102"/>
      <c r="N1" s="102"/>
    </row>
    <row r="2" spans="1:14" x14ac:dyDescent="0.3">
      <c r="A2" s="12" t="s">
        <v>12</v>
      </c>
      <c r="B2" s="89">
        <v>0</v>
      </c>
      <c r="C2" s="89">
        <v>0</v>
      </c>
      <c r="D2" s="89">
        <v>0</v>
      </c>
      <c r="E2" s="89">
        <v>0</v>
      </c>
      <c r="F2" s="89" t="s">
        <v>344</v>
      </c>
      <c r="G2" s="89">
        <v>1</v>
      </c>
      <c r="H2" s="89">
        <v>1</v>
      </c>
      <c r="I2" s="89" t="s">
        <v>339</v>
      </c>
      <c r="J2" s="89" t="s">
        <v>340</v>
      </c>
      <c r="K2" s="89">
        <v>0</v>
      </c>
      <c r="L2" s="101" t="s">
        <v>341</v>
      </c>
      <c r="M2" s="99"/>
      <c r="N2" s="99"/>
    </row>
    <row r="3" spans="1:14" x14ac:dyDescent="0.3">
      <c r="A3" s="12" t="s">
        <v>21</v>
      </c>
      <c r="B3" s="89" t="s">
        <v>54</v>
      </c>
      <c r="C3" s="89">
        <v>0</v>
      </c>
      <c r="D3" s="89" t="s">
        <v>342</v>
      </c>
      <c r="E3" s="89">
        <v>0</v>
      </c>
      <c r="F3" s="89" t="s">
        <v>343</v>
      </c>
      <c r="G3" s="89">
        <v>12</v>
      </c>
      <c r="H3" s="89">
        <v>14</v>
      </c>
      <c r="I3" s="89" t="s">
        <v>339</v>
      </c>
      <c r="J3" s="89" t="s">
        <v>340</v>
      </c>
      <c r="K3" s="89">
        <v>0</v>
      </c>
      <c r="L3" s="101" t="s">
        <v>345</v>
      </c>
      <c r="M3" s="99"/>
      <c r="N3" s="99"/>
    </row>
    <row r="4" spans="1:14" x14ac:dyDescent="0.3">
      <c r="A4" s="12" t="s">
        <v>29</v>
      </c>
      <c r="B4" s="89">
        <v>0</v>
      </c>
      <c r="C4" s="89">
        <v>0</v>
      </c>
      <c r="D4" s="89">
        <v>0</v>
      </c>
      <c r="E4" s="89">
        <v>0</v>
      </c>
      <c r="F4" s="89" t="s">
        <v>346</v>
      </c>
      <c r="G4" s="89">
        <v>2</v>
      </c>
      <c r="H4" s="89">
        <v>3</v>
      </c>
      <c r="I4" s="89" t="s">
        <v>339</v>
      </c>
      <c r="J4" s="89" t="s">
        <v>340</v>
      </c>
      <c r="K4" s="89">
        <v>0</v>
      </c>
      <c r="L4" s="101" t="s">
        <v>347</v>
      </c>
      <c r="M4" s="99"/>
      <c r="N4" s="99"/>
    </row>
    <row r="5" spans="1:14" x14ac:dyDescent="0.3">
      <c r="A5" s="12" t="s">
        <v>37</v>
      </c>
      <c r="B5" s="89">
        <v>0</v>
      </c>
      <c r="C5" s="89">
        <v>0</v>
      </c>
      <c r="D5" s="89">
        <v>0</v>
      </c>
      <c r="E5" s="89">
        <v>0</v>
      </c>
      <c r="F5" s="89" t="s">
        <v>348</v>
      </c>
      <c r="G5" s="89">
        <v>1</v>
      </c>
      <c r="H5" s="89">
        <v>12</v>
      </c>
      <c r="I5" s="89" t="s">
        <v>339</v>
      </c>
      <c r="J5" s="89" t="s">
        <v>340</v>
      </c>
      <c r="K5" s="89">
        <v>0</v>
      </c>
      <c r="L5" s="101">
        <v>0</v>
      </c>
      <c r="M5" s="99"/>
      <c r="N5" s="99"/>
    </row>
    <row r="6" spans="1:14" x14ac:dyDescent="0.3">
      <c r="A6" s="12" t="s">
        <v>42</v>
      </c>
      <c r="B6" s="89">
        <v>0</v>
      </c>
      <c r="C6" s="89">
        <v>0</v>
      </c>
      <c r="D6" s="89">
        <v>0</v>
      </c>
      <c r="E6" s="89">
        <v>0</v>
      </c>
      <c r="F6" s="89">
        <v>0</v>
      </c>
      <c r="G6" s="89">
        <v>0</v>
      </c>
      <c r="H6" s="89">
        <v>0</v>
      </c>
      <c r="I6" s="89" t="s">
        <v>339</v>
      </c>
      <c r="J6" s="89">
        <v>0</v>
      </c>
      <c r="K6" s="89">
        <v>0</v>
      </c>
      <c r="L6" s="101">
        <v>0</v>
      </c>
      <c r="M6" s="99"/>
      <c r="N6" s="99"/>
    </row>
    <row r="7" spans="1:14" x14ac:dyDescent="0.3">
      <c r="A7" s="12" t="s">
        <v>51</v>
      </c>
      <c r="B7" s="89">
        <v>0</v>
      </c>
      <c r="C7" s="89">
        <v>0</v>
      </c>
      <c r="D7" s="89">
        <v>0</v>
      </c>
      <c r="E7" s="89">
        <v>0</v>
      </c>
      <c r="F7" s="89">
        <v>0</v>
      </c>
      <c r="G7" s="89">
        <v>0</v>
      </c>
      <c r="H7" s="89">
        <v>3</v>
      </c>
      <c r="I7" s="89" t="s">
        <v>339</v>
      </c>
      <c r="J7" s="89" t="s">
        <v>340</v>
      </c>
      <c r="K7" s="89">
        <v>0</v>
      </c>
      <c r="L7" s="101">
        <v>0</v>
      </c>
      <c r="M7" s="99"/>
      <c r="N7" s="99"/>
    </row>
    <row r="8" spans="1:14" x14ac:dyDescent="0.3">
      <c r="A8" s="12" t="s">
        <v>53</v>
      </c>
      <c r="B8" s="89">
        <v>0</v>
      </c>
      <c r="C8" s="89">
        <v>0</v>
      </c>
      <c r="D8" s="89">
        <v>0</v>
      </c>
      <c r="E8" s="89">
        <v>0</v>
      </c>
      <c r="F8" s="89" t="s">
        <v>349</v>
      </c>
      <c r="G8" s="89"/>
      <c r="H8" s="89">
        <v>2</v>
      </c>
      <c r="I8" s="89" t="s">
        <v>339</v>
      </c>
      <c r="J8" s="89" t="s">
        <v>340</v>
      </c>
      <c r="K8" s="89">
        <v>0</v>
      </c>
      <c r="L8" s="101" t="s">
        <v>350</v>
      </c>
      <c r="M8" s="99"/>
      <c r="N8" s="99"/>
    </row>
    <row r="9" spans="1:14" x14ac:dyDescent="0.3">
      <c r="A9" s="12" t="s">
        <v>60</v>
      </c>
      <c r="B9" s="89">
        <v>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 t="s">
        <v>339</v>
      </c>
      <c r="J9" s="89">
        <v>0</v>
      </c>
      <c r="K9" s="89">
        <v>0</v>
      </c>
      <c r="L9" s="101">
        <v>0</v>
      </c>
      <c r="M9" s="99"/>
      <c r="N9" s="99"/>
    </row>
    <row r="14" spans="1:14" ht="24.6" x14ac:dyDescent="0.45">
      <c r="A14" s="11" t="s">
        <v>67</v>
      </c>
      <c r="B14" s="25" t="s">
        <v>12</v>
      </c>
      <c r="C14" s="25" t="s">
        <v>21</v>
      </c>
      <c r="D14" s="25"/>
      <c r="E14" s="26" t="s">
        <v>29</v>
      </c>
      <c r="F14" s="26" t="s">
        <v>37</v>
      </c>
      <c r="G14" s="26" t="s">
        <v>42</v>
      </c>
      <c r="H14" s="26" t="s">
        <v>51</v>
      </c>
      <c r="I14" s="26" t="s">
        <v>53</v>
      </c>
      <c r="J14" s="26" t="s">
        <v>60</v>
      </c>
      <c r="K14" s="14" t="s">
        <v>68</v>
      </c>
      <c r="L14" s="44" t="s">
        <v>69</v>
      </c>
      <c r="M14" s="91"/>
      <c r="N14" s="92"/>
    </row>
    <row r="15" spans="1:14" ht="15.6" x14ac:dyDescent="0.3">
      <c r="A15" s="90" t="s">
        <v>70</v>
      </c>
      <c r="B15" s="89">
        <v>1</v>
      </c>
      <c r="C15" s="89">
        <v>12</v>
      </c>
      <c r="D15" s="89"/>
      <c r="E15" s="89">
        <v>2</v>
      </c>
      <c r="F15" s="89">
        <v>1</v>
      </c>
      <c r="G15" s="89">
        <v>0</v>
      </c>
      <c r="H15" s="89">
        <v>0</v>
      </c>
      <c r="I15" s="89">
        <v>0</v>
      </c>
      <c r="J15" s="89">
        <v>0</v>
      </c>
      <c r="K15" s="89"/>
      <c r="L15" s="89">
        <f>AVERAGE(B15:J15)</f>
        <v>2</v>
      </c>
    </row>
    <row r="16" spans="1:14" ht="15.6" x14ac:dyDescent="0.3">
      <c r="A16" s="90" t="s">
        <v>71</v>
      </c>
      <c r="B16" s="89">
        <v>1</v>
      </c>
      <c r="C16" s="89">
        <v>11</v>
      </c>
      <c r="D16" s="89"/>
      <c r="E16" s="89">
        <v>2</v>
      </c>
      <c r="F16" s="89">
        <v>0</v>
      </c>
      <c r="G16" s="89">
        <v>0</v>
      </c>
      <c r="H16" s="89">
        <v>0</v>
      </c>
      <c r="I16" s="89">
        <v>1</v>
      </c>
      <c r="J16" s="89">
        <v>0</v>
      </c>
      <c r="K16" s="89"/>
      <c r="L16" s="89">
        <f t="shared" ref="L16:L22" si="0">AVERAGE(B16:J16)</f>
        <v>1.875</v>
      </c>
    </row>
    <row r="17" spans="1:12" ht="15.6" x14ac:dyDescent="0.3">
      <c r="A17" s="90" t="s">
        <v>72</v>
      </c>
      <c r="B17" s="89">
        <v>0</v>
      </c>
      <c r="C17" s="89">
        <v>0</v>
      </c>
      <c r="D17" s="89"/>
      <c r="E17" s="89">
        <v>2</v>
      </c>
      <c r="F17" s="89">
        <v>5</v>
      </c>
      <c r="G17" s="89">
        <v>0</v>
      </c>
      <c r="H17" s="89">
        <v>0</v>
      </c>
      <c r="I17" s="89">
        <v>2</v>
      </c>
      <c r="J17" s="89">
        <v>0</v>
      </c>
      <c r="K17" s="89"/>
      <c r="L17" s="89">
        <f t="shared" si="0"/>
        <v>1.125</v>
      </c>
    </row>
    <row r="18" spans="1:12" ht="15.6" x14ac:dyDescent="0.3">
      <c r="A18" s="90" t="s">
        <v>73</v>
      </c>
      <c r="B18" s="89">
        <v>0</v>
      </c>
      <c r="C18" s="89">
        <v>1</v>
      </c>
      <c r="D18" s="89"/>
      <c r="E18" s="89">
        <v>0</v>
      </c>
      <c r="F18" s="89">
        <v>5</v>
      </c>
      <c r="G18" s="89">
        <v>0</v>
      </c>
      <c r="H18" s="89">
        <v>0</v>
      </c>
      <c r="I18" s="89">
        <v>0</v>
      </c>
      <c r="J18" s="89">
        <v>0</v>
      </c>
      <c r="K18" s="89"/>
      <c r="L18" s="89">
        <f t="shared" si="0"/>
        <v>0.75</v>
      </c>
    </row>
    <row r="19" spans="1:12" ht="15.6" x14ac:dyDescent="0.3">
      <c r="A19" s="90" t="s">
        <v>10</v>
      </c>
      <c r="B19" s="89">
        <v>0</v>
      </c>
      <c r="C19" s="89">
        <v>0</v>
      </c>
      <c r="D19" s="89"/>
      <c r="E19" s="89">
        <v>0</v>
      </c>
      <c r="F19" s="89">
        <v>0</v>
      </c>
      <c r="G19" s="89">
        <v>0</v>
      </c>
      <c r="H19" s="89">
        <v>0</v>
      </c>
      <c r="I19" s="89">
        <v>0</v>
      </c>
      <c r="J19" s="89">
        <v>0</v>
      </c>
      <c r="K19" s="89"/>
      <c r="L19" s="89">
        <f t="shared" si="0"/>
        <v>0</v>
      </c>
    </row>
    <row r="20" spans="1:12" ht="15.6" x14ac:dyDescent="0.3">
      <c r="A20" s="90" t="s">
        <v>74</v>
      </c>
      <c r="B20" s="89">
        <v>0</v>
      </c>
      <c r="C20" s="89">
        <v>0</v>
      </c>
      <c r="D20" s="89"/>
      <c r="E20" s="89">
        <v>0</v>
      </c>
      <c r="F20" s="89">
        <v>12</v>
      </c>
      <c r="G20" s="89">
        <v>0</v>
      </c>
      <c r="H20" s="89">
        <v>0</v>
      </c>
      <c r="I20" s="89">
        <v>0</v>
      </c>
      <c r="J20" s="89">
        <v>0</v>
      </c>
      <c r="K20" s="89"/>
      <c r="L20" s="89">
        <f t="shared" si="0"/>
        <v>1.5</v>
      </c>
    </row>
    <row r="21" spans="1:12" ht="15.6" x14ac:dyDescent="0.3">
      <c r="A21" s="90" t="s">
        <v>75</v>
      </c>
      <c r="B21" s="89">
        <v>0</v>
      </c>
      <c r="C21" s="89">
        <v>0</v>
      </c>
      <c r="D21" s="89"/>
      <c r="E21" s="89">
        <v>0</v>
      </c>
      <c r="F21" s="89">
        <v>6</v>
      </c>
      <c r="G21" s="89">
        <v>0</v>
      </c>
      <c r="H21" s="89">
        <v>0</v>
      </c>
      <c r="I21" s="89">
        <v>1</v>
      </c>
      <c r="J21" s="89">
        <v>0</v>
      </c>
      <c r="K21" s="89"/>
      <c r="L21" s="89">
        <f t="shared" si="0"/>
        <v>0.875</v>
      </c>
    </row>
    <row r="22" spans="1:12" ht="15.6" x14ac:dyDescent="0.3">
      <c r="A22" s="90" t="s">
        <v>76</v>
      </c>
      <c r="B22" s="89">
        <v>0</v>
      </c>
      <c r="C22" s="89">
        <v>3</v>
      </c>
      <c r="D22" s="89"/>
      <c r="E22" s="89">
        <v>0</v>
      </c>
      <c r="F22" s="89">
        <v>0</v>
      </c>
      <c r="G22" s="89">
        <v>0</v>
      </c>
      <c r="H22" s="89">
        <v>3</v>
      </c>
      <c r="I22" s="89">
        <v>0</v>
      </c>
      <c r="J22" s="89">
        <v>0</v>
      </c>
      <c r="K22" s="89"/>
      <c r="L22" s="89">
        <f t="shared" si="0"/>
        <v>0.75</v>
      </c>
    </row>
    <row r="30" spans="1:12" ht="45.6" x14ac:dyDescent="0.3">
      <c r="A30" s="47" t="s">
        <v>198</v>
      </c>
      <c r="B30" s="48" t="s">
        <v>199</v>
      </c>
      <c r="C30" s="49" t="s">
        <v>200</v>
      </c>
      <c r="D30" s="48" t="s">
        <v>201</v>
      </c>
      <c r="E30" s="49" t="s">
        <v>202</v>
      </c>
      <c r="F30" s="49" t="s">
        <v>240</v>
      </c>
      <c r="G30" s="49" t="s">
        <v>42</v>
      </c>
      <c r="H30" s="48" t="s">
        <v>203</v>
      </c>
      <c r="I30" s="49" t="s">
        <v>221</v>
      </c>
      <c r="J30" s="49" t="s">
        <v>69</v>
      </c>
      <c r="K30" s="49" t="s">
        <v>204</v>
      </c>
    </row>
    <row r="31" spans="1:12" ht="23.4" x14ac:dyDescent="0.45">
      <c r="A31" s="50" t="s">
        <v>205</v>
      </c>
      <c r="B31" s="89">
        <v>2</v>
      </c>
      <c r="C31" s="89">
        <v>2</v>
      </c>
      <c r="D31" s="89">
        <v>1</v>
      </c>
      <c r="E31" s="89">
        <v>0</v>
      </c>
      <c r="F31" s="89">
        <v>0</v>
      </c>
      <c r="G31" s="89">
        <v>0</v>
      </c>
      <c r="H31" s="89">
        <v>0</v>
      </c>
      <c r="I31" s="89">
        <v>1</v>
      </c>
      <c r="J31" s="89"/>
      <c r="K31" s="89"/>
    </row>
    <row r="32" spans="1:12" ht="23.4" x14ac:dyDescent="0.45">
      <c r="A32" s="50" t="s">
        <v>206</v>
      </c>
      <c r="B32" s="89">
        <v>2</v>
      </c>
      <c r="C32" s="89">
        <v>0</v>
      </c>
      <c r="D32" s="89">
        <v>0</v>
      </c>
      <c r="E32" s="89">
        <v>0</v>
      </c>
      <c r="F32" s="89">
        <v>0</v>
      </c>
      <c r="G32" s="89">
        <v>0</v>
      </c>
      <c r="H32" s="89">
        <v>0</v>
      </c>
      <c r="I32" s="89">
        <v>0</v>
      </c>
      <c r="J32" s="89"/>
      <c r="K32" s="89"/>
    </row>
    <row r="33" spans="1:11" ht="23.4" x14ac:dyDescent="0.45">
      <c r="A33" s="50" t="s">
        <v>207</v>
      </c>
      <c r="B33" s="89">
        <v>1</v>
      </c>
      <c r="C33" s="89">
        <v>0</v>
      </c>
      <c r="D33" s="89">
        <v>0</v>
      </c>
      <c r="E33" s="89">
        <v>0</v>
      </c>
      <c r="F33" s="89">
        <v>0</v>
      </c>
      <c r="G33" s="89">
        <v>0</v>
      </c>
      <c r="H33" s="89">
        <v>0</v>
      </c>
      <c r="I33" s="89">
        <v>0</v>
      </c>
      <c r="J33" s="89"/>
      <c r="K33" s="89"/>
    </row>
    <row r="34" spans="1:11" ht="23.4" x14ac:dyDescent="0.45">
      <c r="A34" s="50" t="s">
        <v>208</v>
      </c>
      <c r="B34" s="89">
        <v>2</v>
      </c>
      <c r="C34" s="89">
        <v>1</v>
      </c>
      <c r="D34" s="89">
        <v>1</v>
      </c>
      <c r="E34" s="89">
        <v>0</v>
      </c>
      <c r="F34" s="89">
        <v>0</v>
      </c>
      <c r="G34" s="89">
        <v>0</v>
      </c>
      <c r="H34" s="89">
        <v>0</v>
      </c>
      <c r="I34" s="89">
        <v>0</v>
      </c>
      <c r="J34" s="89"/>
      <c r="K34" s="89"/>
    </row>
    <row r="35" spans="1:11" ht="23.4" x14ac:dyDescent="0.45">
      <c r="A35" s="50" t="s">
        <v>209</v>
      </c>
      <c r="B35" s="89">
        <v>2</v>
      </c>
      <c r="C35" s="89">
        <v>1</v>
      </c>
      <c r="D35" s="89">
        <v>1</v>
      </c>
      <c r="E35" s="89">
        <v>0</v>
      </c>
      <c r="F35" s="89">
        <v>0</v>
      </c>
      <c r="G35" s="89">
        <v>0</v>
      </c>
      <c r="H35" s="89">
        <v>0</v>
      </c>
      <c r="I35" s="89">
        <v>0</v>
      </c>
      <c r="J35" s="89"/>
      <c r="K35" s="89"/>
    </row>
    <row r="36" spans="1:11" ht="23.4" x14ac:dyDescent="0.45">
      <c r="A36" s="50" t="s">
        <v>210</v>
      </c>
      <c r="B36" s="89">
        <v>2</v>
      </c>
      <c r="C36" s="89">
        <v>1</v>
      </c>
      <c r="D36" s="89">
        <v>1</v>
      </c>
      <c r="E36" s="89">
        <v>0</v>
      </c>
      <c r="F36" s="89">
        <v>0</v>
      </c>
      <c r="G36" s="89">
        <v>0</v>
      </c>
      <c r="H36" s="89">
        <v>0</v>
      </c>
      <c r="I36" s="89">
        <v>0</v>
      </c>
      <c r="J36" s="89"/>
      <c r="K36" s="89"/>
    </row>
    <row r="37" spans="1:11" ht="23.4" x14ac:dyDescent="0.45">
      <c r="A37" s="50" t="s">
        <v>211</v>
      </c>
      <c r="B37" s="89">
        <v>0</v>
      </c>
      <c r="C37" s="89">
        <v>0</v>
      </c>
      <c r="D37" s="89">
        <v>0</v>
      </c>
      <c r="E37" s="89">
        <v>0</v>
      </c>
      <c r="F37" s="89">
        <v>0</v>
      </c>
      <c r="G37" s="89">
        <v>0</v>
      </c>
      <c r="H37" s="89">
        <v>0</v>
      </c>
      <c r="I37" s="89">
        <v>0</v>
      </c>
      <c r="J37" s="89"/>
      <c r="K37" s="89"/>
    </row>
    <row r="38" spans="1:11" ht="23.4" x14ac:dyDescent="0.45">
      <c r="A38" s="55" t="s">
        <v>212</v>
      </c>
      <c r="B38" s="89">
        <v>1</v>
      </c>
      <c r="C38" s="89">
        <v>0</v>
      </c>
      <c r="D38" s="89">
        <v>0</v>
      </c>
      <c r="E38" s="89">
        <v>0</v>
      </c>
      <c r="F38" s="89">
        <v>0</v>
      </c>
      <c r="G38" s="89">
        <v>0</v>
      </c>
      <c r="H38" s="89">
        <v>0</v>
      </c>
      <c r="I38" s="89">
        <v>0</v>
      </c>
      <c r="J38" s="89"/>
      <c r="K38" s="89"/>
    </row>
    <row r="39" spans="1:11" ht="23.4" x14ac:dyDescent="0.45">
      <c r="A39" s="50" t="s">
        <v>213</v>
      </c>
      <c r="B39" s="89">
        <v>0</v>
      </c>
      <c r="C39" s="89">
        <v>0</v>
      </c>
      <c r="D39" s="89">
        <v>1</v>
      </c>
      <c r="E39" s="89">
        <v>0</v>
      </c>
      <c r="F39" s="89">
        <v>0</v>
      </c>
      <c r="G39" s="89">
        <v>0</v>
      </c>
      <c r="H39" s="89">
        <v>0</v>
      </c>
      <c r="I39" s="89">
        <v>0</v>
      </c>
      <c r="J39" s="89"/>
      <c r="K39" s="89"/>
    </row>
    <row r="40" spans="1:11" ht="23.4" x14ac:dyDescent="0.45">
      <c r="A40" s="50" t="s">
        <v>214</v>
      </c>
      <c r="B40" s="89">
        <v>0</v>
      </c>
      <c r="C40" s="89">
        <v>0</v>
      </c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/>
      <c r="K40" s="89"/>
    </row>
    <row r="41" spans="1:11" ht="23.4" x14ac:dyDescent="0.45">
      <c r="A41" s="50" t="s">
        <v>215</v>
      </c>
      <c r="B41" s="89">
        <v>2</v>
      </c>
      <c r="C41" s="89">
        <v>0</v>
      </c>
      <c r="D41" s="89">
        <v>0</v>
      </c>
      <c r="E41" s="89">
        <v>0</v>
      </c>
      <c r="F41" s="89">
        <v>0</v>
      </c>
      <c r="G41" s="89">
        <v>0</v>
      </c>
      <c r="H41" s="89">
        <v>0</v>
      </c>
      <c r="I41" s="89">
        <v>0</v>
      </c>
      <c r="J41" s="89"/>
      <c r="K41" s="89"/>
    </row>
    <row r="42" spans="1:11" ht="23.4" x14ac:dyDescent="0.45">
      <c r="A42" s="50" t="s">
        <v>216</v>
      </c>
      <c r="B42" s="89">
        <v>2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/>
      <c r="K42" s="89"/>
    </row>
    <row r="43" spans="1:11" ht="23.4" x14ac:dyDescent="0.45">
      <c r="A43" s="50" t="s">
        <v>217</v>
      </c>
      <c r="B43" s="89">
        <v>0</v>
      </c>
      <c r="C43" s="89">
        <v>0</v>
      </c>
      <c r="D43" s="89">
        <v>0</v>
      </c>
      <c r="E43" s="89">
        <v>0</v>
      </c>
      <c r="F43" s="89">
        <v>0</v>
      </c>
      <c r="G43" s="89">
        <v>0</v>
      </c>
      <c r="H43" s="89">
        <v>0</v>
      </c>
      <c r="I43" s="89">
        <v>0</v>
      </c>
      <c r="J43" s="89"/>
      <c r="K43" s="89"/>
    </row>
    <row r="44" spans="1:11" ht="23.4" x14ac:dyDescent="0.45">
      <c r="A44" s="50" t="s">
        <v>218</v>
      </c>
      <c r="B44" s="89">
        <v>0</v>
      </c>
      <c r="C44" s="89">
        <v>1</v>
      </c>
      <c r="D44" s="89">
        <v>0</v>
      </c>
      <c r="E44" s="89">
        <v>0</v>
      </c>
      <c r="F44" s="89">
        <v>0</v>
      </c>
      <c r="G44" s="89">
        <v>0</v>
      </c>
      <c r="H44" s="89">
        <v>0</v>
      </c>
      <c r="I44" s="89">
        <v>0</v>
      </c>
      <c r="J44" s="89"/>
      <c r="K44" s="89"/>
    </row>
    <row r="45" spans="1:11" ht="23.4" x14ac:dyDescent="0.45">
      <c r="A45" s="50" t="s">
        <v>219</v>
      </c>
      <c r="B45" s="89">
        <v>0</v>
      </c>
      <c r="C45" s="89">
        <v>1</v>
      </c>
      <c r="D45" s="89">
        <v>1</v>
      </c>
      <c r="E45" s="89">
        <v>0</v>
      </c>
      <c r="F45" s="89">
        <v>0</v>
      </c>
      <c r="G45" s="89">
        <v>0</v>
      </c>
      <c r="H45" s="89">
        <v>0</v>
      </c>
      <c r="I45" s="89">
        <v>0</v>
      </c>
      <c r="J45" s="89"/>
      <c r="K45" s="89"/>
    </row>
    <row r="46" spans="1:11" ht="23.4" x14ac:dyDescent="0.3">
      <c r="A46" s="54" t="s">
        <v>220</v>
      </c>
      <c r="B46" s="89">
        <v>0</v>
      </c>
      <c r="C46" s="89">
        <v>4</v>
      </c>
      <c r="D46" s="89">
        <v>0</v>
      </c>
      <c r="E46" s="89">
        <v>12</v>
      </c>
      <c r="F46" s="89">
        <v>0</v>
      </c>
      <c r="G46" s="89">
        <v>0</v>
      </c>
      <c r="H46" s="89">
        <v>3</v>
      </c>
      <c r="I46" s="89">
        <v>1</v>
      </c>
      <c r="J46" s="89"/>
      <c r="K46" s="89"/>
    </row>
    <row r="47" spans="1:11" x14ac:dyDescent="0.3">
      <c r="G47" s="96"/>
    </row>
    <row r="54" spans="1:11" ht="45.6" x14ac:dyDescent="0.3">
      <c r="A54" s="47" t="s">
        <v>222</v>
      </c>
      <c r="B54" s="48" t="s">
        <v>199</v>
      </c>
      <c r="C54" s="49" t="s">
        <v>200</v>
      </c>
      <c r="D54" s="49" t="s">
        <v>240</v>
      </c>
      <c r="E54" s="48" t="s">
        <v>201</v>
      </c>
      <c r="F54" s="49" t="s">
        <v>202</v>
      </c>
      <c r="G54" s="48" t="s">
        <v>203</v>
      </c>
      <c r="H54" s="48" t="s">
        <v>42</v>
      </c>
      <c r="I54" s="49" t="s">
        <v>221</v>
      </c>
      <c r="J54" s="49" t="s">
        <v>69</v>
      </c>
      <c r="K54" s="49" t="s">
        <v>204</v>
      </c>
    </row>
    <row r="55" spans="1:11" ht="23.4" x14ac:dyDescent="0.45">
      <c r="A55" s="50" t="s">
        <v>205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</row>
    <row r="56" spans="1:11" ht="23.4" x14ac:dyDescent="0.45">
      <c r="A56" s="50" t="s">
        <v>206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</row>
    <row r="57" spans="1:11" ht="23.4" x14ac:dyDescent="0.45">
      <c r="A57" s="50" t="s">
        <v>207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</row>
    <row r="58" spans="1:11" ht="23.4" x14ac:dyDescent="0.45">
      <c r="A58" s="50" t="s">
        <v>208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</row>
    <row r="59" spans="1:11" ht="23.4" x14ac:dyDescent="0.45">
      <c r="A59" s="50" t="s">
        <v>209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</row>
    <row r="60" spans="1:11" ht="23.4" x14ac:dyDescent="0.45">
      <c r="A60" s="50" t="s">
        <v>210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</row>
    <row r="61" spans="1:11" ht="23.4" x14ac:dyDescent="0.45">
      <c r="A61" s="50" t="s">
        <v>211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</row>
    <row r="62" spans="1:11" ht="23.4" x14ac:dyDescent="0.45">
      <c r="A62" s="55" t="s">
        <v>212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</row>
    <row r="63" spans="1:11" ht="23.4" x14ac:dyDescent="0.45">
      <c r="A63" s="50" t="s">
        <v>213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</row>
    <row r="64" spans="1:11" ht="23.4" x14ac:dyDescent="0.45">
      <c r="A64" s="50" t="s">
        <v>214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ht="23.4" x14ac:dyDescent="0.45">
      <c r="A65" s="50" t="s">
        <v>215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ht="23.4" x14ac:dyDescent="0.45">
      <c r="A66" s="50" t="s">
        <v>216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ht="23.4" x14ac:dyDescent="0.45">
      <c r="A67" s="50" t="s">
        <v>217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</row>
    <row r="68" spans="1:11" ht="23.4" x14ac:dyDescent="0.45">
      <c r="A68" s="50" t="s">
        <v>218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</row>
    <row r="69" spans="1:11" ht="23.4" x14ac:dyDescent="0.45">
      <c r="A69" s="50" t="s">
        <v>219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</row>
    <row r="70" spans="1:11" ht="23.4" x14ac:dyDescent="0.3">
      <c r="A70" s="54" t="s">
        <v>220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</row>
    <row r="80" spans="1:11" ht="28.8" x14ac:dyDescent="0.55000000000000004">
      <c r="A80" s="65" t="s">
        <v>0</v>
      </c>
      <c r="B80" s="66" t="s">
        <v>241</v>
      </c>
      <c r="C80" s="67" t="s">
        <v>242</v>
      </c>
    </row>
    <row r="81" spans="1:3" ht="28.8" x14ac:dyDescent="0.55000000000000004">
      <c r="A81" s="68" t="s">
        <v>12</v>
      </c>
      <c r="B81" s="89"/>
      <c r="C81" s="89"/>
    </row>
    <row r="82" spans="1:3" ht="28.8" x14ac:dyDescent="0.55000000000000004">
      <c r="A82" s="68" t="s">
        <v>21</v>
      </c>
      <c r="B82" s="89"/>
      <c r="C82" s="89"/>
    </row>
    <row r="83" spans="1:3" ht="28.8" x14ac:dyDescent="0.55000000000000004">
      <c r="A83" s="68" t="s">
        <v>29</v>
      </c>
      <c r="B83" s="89"/>
      <c r="C83" s="89"/>
    </row>
    <row r="84" spans="1:3" ht="28.8" x14ac:dyDescent="0.55000000000000004">
      <c r="A84" s="68" t="s">
        <v>37</v>
      </c>
      <c r="B84" s="89"/>
      <c r="C84" s="89"/>
    </row>
    <row r="85" spans="1:3" ht="28.8" x14ac:dyDescent="0.55000000000000004">
      <c r="A85" s="68" t="s">
        <v>42</v>
      </c>
      <c r="B85" s="89"/>
      <c r="C85" s="89"/>
    </row>
    <row r="86" spans="1:3" ht="28.8" x14ac:dyDescent="0.55000000000000004">
      <c r="A86" s="68" t="s">
        <v>51</v>
      </c>
      <c r="B86" s="89"/>
      <c r="C86" s="89"/>
    </row>
    <row r="87" spans="1:3" ht="28.8" x14ac:dyDescent="0.55000000000000004">
      <c r="A87" s="68" t="s">
        <v>53</v>
      </c>
      <c r="B87" s="89"/>
      <c r="C87" s="89"/>
    </row>
    <row r="88" spans="1:3" ht="28.8" x14ac:dyDescent="0.55000000000000004">
      <c r="A88" s="68" t="s">
        <v>60</v>
      </c>
      <c r="B88" s="89"/>
      <c r="C88" s="8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7B23-72AF-4C32-A21E-07E7A1E76379}">
  <dimension ref="A1:O88"/>
  <sheetViews>
    <sheetView topLeftCell="A65" zoomScale="68" workbookViewId="0">
      <selection activeCell="N20" sqref="N20"/>
    </sheetView>
  </sheetViews>
  <sheetFormatPr defaultRowHeight="14.4" x14ac:dyDescent="0.3"/>
  <cols>
    <col min="1" max="1" width="64.5546875" bestFit="1" customWidth="1"/>
    <col min="2" max="2" width="96.44140625" bestFit="1" customWidth="1"/>
    <col min="3" max="3" width="37.33203125" bestFit="1" customWidth="1"/>
    <col min="4" max="4" width="25.77734375" customWidth="1"/>
    <col min="5" max="5" width="32.5546875" bestFit="1" customWidth="1"/>
    <col min="6" max="6" width="14.44140625" bestFit="1" customWidth="1"/>
    <col min="7" max="7" width="18.33203125" bestFit="1" customWidth="1"/>
    <col min="8" max="8" width="19.109375" bestFit="1" customWidth="1"/>
    <col min="9" max="9" width="13.44140625" customWidth="1"/>
    <col min="10" max="10" width="15.6640625" bestFit="1" customWidth="1"/>
    <col min="11" max="11" width="18.21875" bestFit="1" customWidth="1"/>
    <col min="12" max="12" width="12.6640625" customWidth="1"/>
    <col min="13" max="13" width="58.5546875" bestFit="1" customWidth="1"/>
    <col min="14" max="14" width="6.6640625" bestFit="1" customWidth="1"/>
  </cols>
  <sheetData>
    <row r="1" spans="1:15" ht="15.6" x14ac:dyDescent="0.3">
      <c r="A1" s="80" t="s">
        <v>0</v>
      </c>
      <c r="B1" s="81" t="s">
        <v>1</v>
      </c>
      <c r="C1" s="81" t="s">
        <v>2</v>
      </c>
      <c r="D1" s="81"/>
      <c r="E1" s="81" t="s">
        <v>3</v>
      </c>
      <c r="F1" s="81" t="s">
        <v>4</v>
      </c>
      <c r="G1" s="81"/>
      <c r="H1" s="81" t="s">
        <v>294</v>
      </c>
      <c r="I1" s="81" t="s">
        <v>7</v>
      </c>
      <c r="J1" s="81" t="s">
        <v>8</v>
      </c>
      <c r="K1" s="81" t="s">
        <v>9</v>
      </c>
      <c r="L1" s="81" t="s">
        <v>10</v>
      </c>
      <c r="M1" s="81" t="s">
        <v>295</v>
      </c>
      <c r="N1" s="81" t="s">
        <v>194</v>
      </c>
      <c r="O1" s="81" t="s">
        <v>195</v>
      </c>
    </row>
    <row r="2" spans="1:15" x14ac:dyDescent="0.3">
      <c r="A2" s="12" t="s">
        <v>12</v>
      </c>
      <c r="B2" s="89" t="s">
        <v>291</v>
      </c>
      <c r="C2" s="89"/>
      <c r="D2" s="89"/>
      <c r="E2" s="89" t="s">
        <v>292</v>
      </c>
      <c r="F2" s="89" t="s">
        <v>293</v>
      </c>
      <c r="G2" s="89"/>
      <c r="H2" s="89">
        <v>7</v>
      </c>
      <c r="I2" s="89">
        <v>23</v>
      </c>
      <c r="J2" s="89" t="s">
        <v>19</v>
      </c>
      <c r="K2" s="89" t="s">
        <v>299</v>
      </c>
      <c r="L2" s="89">
        <v>1</v>
      </c>
      <c r="M2" s="89" t="s">
        <v>325</v>
      </c>
      <c r="N2" s="89">
        <v>15</v>
      </c>
      <c r="O2" s="89">
        <v>8</v>
      </c>
    </row>
    <row r="3" spans="1:15" x14ac:dyDescent="0.3">
      <c r="A3" s="12" t="s">
        <v>21</v>
      </c>
      <c r="B3" s="89" t="s">
        <v>296</v>
      </c>
      <c r="C3" s="89"/>
      <c r="D3" s="89"/>
      <c r="E3" s="89" t="s">
        <v>297</v>
      </c>
      <c r="F3" s="89"/>
      <c r="G3" s="89"/>
      <c r="H3" s="89">
        <v>3</v>
      </c>
      <c r="I3" s="89">
        <v>12</v>
      </c>
      <c r="J3" s="89" t="s">
        <v>19</v>
      </c>
      <c r="K3" s="89" t="s">
        <v>298</v>
      </c>
      <c r="L3" s="89"/>
      <c r="M3" s="89" t="s">
        <v>324</v>
      </c>
      <c r="N3" s="89">
        <v>7</v>
      </c>
      <c r="O3" s="89">
        <v>5</v>
      </c>
    </row>
    <row r="4" spans="1:15" x14ac:dyDescent="0.3">
      <c r="A4" s="12" t="s">
        <v>29</v>
      </c>
      <c r="B4" s="89" t="s">
        <v>300</v>
      </c>
      <c r="C4" s="89"/>
      <c r="D4" s="89"/>
      <c r="E4" s="89" t="s">
        <v>301</v>
      </c>
      <c r="F4" s="89" t="s">
        <v>302</v>
      </c>
      <c r="G4" s="89"/>
      <c r="H4" s="89">
        <v>1</v>
      </c>
      <c r="I4" s="89">
        <v>14</v>
      </c>
      <c r="J4" s="89" t="s">
        <v>19</v>
      </c>
      <c r="K4" s="89" t="s">
        <v>303</v>
      </c>
      <c r="L4" s="89"/>
      <c r="M4" s="89" t="s">
        <v>323</v>
      </c>
      <c r="N4" s="89">
        <v>5</v>
      </c>
      <c r="O4" s="89">
        <v>9</v>
      </c>
    </row>
    <row r="5" spans="1:15" x14ac:dyDescent="0.3">
      <c r="A5" s="12" t="s">
        <v>37</v>
      </c>
      <c r="B5" s="89" t="s">
        <v>304</v>
      </c>
      <c r="C5" s="89"/>
      <c r="D5" s="89"/>
      <c r="E5" s="89" t="s">
        <v>308</v>
      </c>
      <c r="F5" s="89" t="s">
        <v>305</v>
      </c>
      <c r="G5" s="89"/>
      <c r="H5" s="89"/>
      <c r="I5" s="89">
        <v>12</v>
      </c>
      <c r="J5" s="89" t="s">
        <v>19</v>
      </c>
      <c r="K5" s="89" t="s">
        <v>306</v>
      </c>
      <c r="L5" s="89">
        <v>1</v>
      </c>
      <c r="M5" s="89"/>
      <c r="N5" s="89">
        <v>12</v>
      </c>
      <c r="O5" s="89">
        <v>0</v>
      </c>
    </row>
    <row r="6" spans="1:15" x14ac:dyDescent="0.3">
      <c r="A6" s="12" t="s">
        <v>42</v>
      </c>
      <c r="B6" s="89" t="s">
        <v>307</v>
      </c>
      <c r="C6" s="89"/>
      <c r="D6" s="89"/>
      <c r="E6" s="89" t="s">
        <v>309</v>
      </c>
      <c r="F6" s="89"/>
      <c r="G6" s="89"/>
      <c r="H6" s="89">
        <v>3</v>
      </c>
      <c r="I6" s="89">
        <v>21</v>
      </c>
      <c r="J6" s="89" t="s">
        <v>19</v>
      </c>
      <c r="K6" s="89" t="s">
        <v>310</v>
      </c>
      <c r="L6" s="89"/>
      <c r="M6" s="89" t="s">
        <v>322</v>
      </c>
      <c r="N6" s="89">
        <v>13</v>
      </c>
      <c r="O6" s="89">
        <v>8</v>
      </c>
    </row>
    <row r="7" spans="1:15" x14ac:dyDescent="0.3">
      <c r="A7" s="12" t="s">
        <v>51</v>
      </c>
      <c r="B7" s="89" t="s">
        <v>311</v>
      </c>
      <c r="C7" s="89"/>
      <c r="D7" s="89"/>
      <c r="E7" s="89" t="s">
        <v>312</v>
      </c>
      <c r="F7" s="89" t="s">
        <v>313</v>
      </c>
      <c r="G7" s="89"/>
      <c r="H7" s="89"/>
      <c r="I7" s="89">
        <v>27</v>
      </c>
      <c r="J7" s="89" t="s">
        <v>19</v>
      </c>
      <c r="K7" s="89" t="s">
        <v>326</v>
      </c>
      <c r="L7" s="89"/>
      <c r="M7" s="89"/>
      <c r="N7" s="89">
        <v>13</v>
      </c>
      <c r="O7" s="89">
        <v>14</v>
      </c>
    </row>
    <row r="8" spans="1:15" x14ac:dyDescent="0.3">
      <c r="A8" s="12" t="s">
        <v>53</v>
      </c>
      <c r="B8" s="89" t="s">
        <v>314</v>
      </c>
      <c r="C8" s="89"/>
      <c r="D8" s="89"/>
      <c r="E8" s="89" t="s">
        <v>315</v>
      </c>
      <c r="F8" s="89"/>
      <c r="G8" s="89"/>
      <c r="H8" s="89">
        <v>3</v>
      </c>
      <c r="I8" s="89">
        <v>7</v>
      </c>
      <c r="J8" s="89" t="s">
        <v>19</v>
      </c>
      <c r="K8" s="89" t="s">
        <v>316</v>
      </c>
      <c r="L8" s="89"/>
      <c r="M8" s="89" t="s">
        <v>317</v>
      </c>
      <c r="N8" s="89">
        <v>1</v>
      </c>
      <c r="O8" s="89">
        <v>6</v>
      </c>
    </row>
    <row r="9" spans="1:15" x14ac:dyDescent="0.3">
      <c r="A9" s="12" t="s">
        <v>60</v>
      </c>
      <c r="B9" s="89" t="s">
        <v>318</v>
      </c>
      <c r="C9" s="89"/>
      <c r="D9" s="89"/>
      <c r="E9" s="89" t="s">
        <v>319</v>
      </c>
      <c r="F9" s="89"/>
      <c r="G9" s="89"/>
      <c r="H9" s="89">
        <v>5</v>
      </c>
      <c r="I9" s="89">
        <v>16</v>
      </c>
      <c r="J9" s="89" t="s">
        <v>19</v>
      </c>
      <c r="K9" s="89" t="s">
        <v>320</v>
      </c>
      <c r="L9" s="89"/>
      <c r="M9" s="89" t="s">
        <v>321</v>
      </c>
      <c r="N9" s="89">
        <v>5</v>
      </c>
      <c r="O9" s="89">
        <v>11</v>
      </c>
    </row>
    <row r="10" spans="1:15" x14ac:dyDescent="0.3">
      <c r="I10" s="33">
        <f>AVERAGE(I2:I9)</f>
        <v>16.5</v>
      </c>
      <c r="M10" s="97" t="s">
        <v>69</v>
      </c>
      <c r="N10" s="33">
        <f>AVERAGE(N2:N9)</f>
        <v>8.875</v>
      </c>
      <c r="O10" s="33">
        <f>AVERAGE(O2:O9)</f>
        <v>7.625</v>
      </c>
    </row>
    <row r="12" spans="1:15" ht="31.2" x14ac:dyDescent="0.6">
      <c r="F12" s="93" t="s">
        <v>67</v>
      </c>
      <c r="G12" s="94"/>
    </row>
    <row r="14" spans="1:15" ht="24.6" x14ac:dyDescent="0.45">
      <c r="A14" s="11" t="s">
        <v>67</v>
      </c>
      <c r="B14" s="25" t="s">
        <v>12</v>
      </c>
      <c r="C14" s="25" t="s">
        <v>21</v>
      </c>
      <c r="D14" s="25"/>
      <c r="E14" s="25"/>
      <c r="F14" s="26" t="s">
        <v>29</v>
      </c>
      <c r="G14" s="26" t="s">
        <v>37</v>
      </c>
      <c r="H14" s="26" t="s">
        <v>42</v>
      </c>
      <c r="I14" s="26" t="s">
        <v>51</v>
      </c>
      <c r="J14" s="26" t="s">
        <v>53</v>
      </c>
      <c r="K14" s="26" t="s">
        <v>60</v>
      </c>
      <c r="L14" s="14" t="s">
        <v>68</v>
      </c>
      <c r="M14" s="44" t="s">
        <v>69</v>
      </c>
      <c r="N14" s="91"/>
      <c r="O14" s="92"/>
    </row>
    <row r="15" spans="1:15" ht="15.6" x14ac:dyDescent="0.3">
      <c r="A15" s="90" t="s">
        <v>70</v>
      </c>
      <c r="B15" s="89">
        <v>6</v>
      </c>
      <c r="C15" s="89">
        <v>5</v>
      </c>
      <c r="D15" s="89"/>
      <c r="E15" s="89"/>
      <c r="F15" s="89">
        <v>4</v>
      </c>
      <c r="G15" s="89">
        <v>5</v>
      </c>
      <c r="H15" s="89">
        <v>14</v>
      </c>
      <c r="I15" s="89">
        <v>3</v>
      </c>
      <c r="J15" s="89">
        <v>3</v>
      </c>
      <c r="K15" s="89">
        <v>3</v>
      </c>
      <c r="L15" s="89">
        <f>SUM(B15:K15)</f>
        <v>43</v>
      </c>
      <c r="M15" s="89">
        <f>AVERAGE(B15:K15)</f>
        <v>5.375</v>
      </c>
    </row>
    <row r="16" spans="1:15" ht="15.6" x14ac:dyDescent="0.3">
      <c r="A16" s="90" t="s">
        <v>71</v>
      </c>
      <c r="B16" s="89">
        <v>7</v>
      </c>
      <c r="C16" s="89">
        <v>3</v>
      </c>
      <c r="D16" s="89"/>
      <c r="E16" s="89"/>
      <c r="F16" s="89">
        <v>1</v>
      </c>
      <c r="G16" s="89">
        <v>0</v>
      </c>
      <c r="H16" s="89">
        <v>3</v>
      </c>
      <c r="I16" s="89">
        <v>0</v>
      </c>
      <c r="J16" s="89">
        <v>4</v>
      </c>
      <c r="K16" s="89">
        <v>5</v>
      </c>
      <c r="L16" s="89">
        <f t="shared" ref="L16:L22" si="0">SUM(B16:K16)</f>
        <v>23</v>
      </c>
      <c r="M16" s="89">
        <f t="shared" ref="M16:M22" si="1">AVERAGE(B16:K16)</f>
        <v>2.875</v>
      </c>
    </row>
    <row r="17" spans="1:13" ht="15.6" x14ac:dyDescent="0.3">
      <c r="A17" s="90" t="s">
        <v>72</v>
      </c>
      <c r="B17" s="89">
        <v>3</v>
      </c>
      <c r="C17" s="89">
        <v>2</v>
      </c>
      <c r="D17" s="89"/>
      <c r="E17" s="89"/>
      <c r="F17" s="89">
        <v>7</v>
      </c>
      <c r="G17" s="89">
        <v>1</v>
      </c>
      <c r="H17" s="89">
        <v>0</v>
      </c>
      <c r="I17" s="89">
        <v>5</v>
      </c>
      <c r="J17" s="89">
        <v>2</v>
      </c>
      <c r="K17" s="89">
        <v>10</v>
      </c>
      <c r="L17" s="89">
        <f t="shared" si="0"/>
        <v>30</v>
      </c>
      <c r="M17" s="89">
        <f t="shared" si="1"/>
        <v>3.75</v>
      </c>
    </row>
    <row r="18" spans="1:13" ht="15.6" x14ac:dyDescent="0.3">
      <c r="A18" s="90" t="s">
        <v>73</v>
      </c>
      <c r="B18" s="89">
        <v>4</v>
      </c>
      <c r="C18" s="89">
        <v>3</v>
      </c>
      <c r="D18" s="89"/>
      <c r="E18" s="89"/>
      <c r="F18" s="89">
        <v>4</v>
      </c>
      <c r="G18" s="89">
        <v>4</v>
      </c>
      <c r="H18" s="89">
        <v>7</v>
      </c>
      <c r="I18" s="89">
        <v>3</v>
      </c>
      <c r="J18" s="89">
        <v>1</v>
      </c>
      <c r="K18" s="89">
        <v>5</v>
      </c>
      <c r="L18" s="89">
        <f t="shared" si="0"/>
        <v>31</v>
      </c>
      <c r="M18" s="89">
        <f t="shared" si="1"/>
        <v>3.875</v>
      </c>
    </row>
    <row r="19" spans="1:13" ht="15.6" x14ac:dyDescent="0.3">
      <c r="A19" s="90" t="s">
        <v>10</v>
      </c>
      <c r="B19" s="89">
        <v>1</v>
      </c>
      <c r="C19" s="89">
        <v>0</v>
      </c>
      <c r="D19" s="89"/>
      <c r="E19" s="89"/>
      <c r="F19" s="89">
        <v>0</v>
      </c>
      <c r="G19" s="89">
        <v>0</v>
      </c>
      <c r="H19" s="89">
        <v>0</v>
      </c>
      <c r="I19" s="89">
        <v>0</v>
      </c>
      <c r="J19" s="89">
        <v>0</v>
      </c>
      <c r="K19" s="89">
        <v>0</v>
      </c>
      <c r="L19" s="89">
        <f t="shared" si="0"/>
        <v>1</v>
      </c>
      <c r="M19" s="89">
        <f t="shared" si="1"/>
        <v>0.125</v>
      </c>
    </row>
    <row r="20" spans="1:13" ht="15.6" x14ac:dyDescent="0.3">
      <c r="A20" s="90" t="s">
        <v>74</v>
      </c>
      <c r="B20" s="89">
        <v>10</v>
      </c>
      <c r="C20" s="89">
        <v>0</v>
      </c>
      <c r="D20" s="89"/>
      <c r="E20" s="89"/>
      <c r="F20" s="89">
        <v>1</v>
      </c>
      <c r="G20" s="89">
        <v>7</v>
      </c>
      <c r="H20" s="89">
        <v>0</v>
      </c>
      <c r="I20" s="89">
        <v>5</v>
      </c>
      <c r="J20" s="89">
        <v>0</v>
      </c>
      <c r="K20" s="89">
        <v>0</v>
      </c>
      <c r="L20" s="89">
        <f t="shared" si="0"/>
        <v>23</v>
      </c>
      <c r="M20" s="89">
        <f t="shared" si="1"/>
        <v>2.875</v>
      </c>
    </row>
    <row r="21" spans="1:13" ht="15.6" x14ac:dyDescent="0.3">
      <c r="A21" s="90" t="s">
        <v>75</v>
      </c>
      <c r="B21" s="89">
        <v>3</v>
      </c>
      <c r="C21" s="89">
        <v>1</v>
      </c>
      <c r="D21" s="89"/>
      <c r="E21" s="89"/>
      <c r="F21" s="89">
        <v>5</v>
      </c>
      <c r="G21" s="89">
        <v>4</v>
      </c>
      <c r="H21" s="89">
        <v>1</v>
      </c>
      <c r="I21" s="89">
        <v>0</v>
      </c>
      <c r="J21" s="89">
        <v>4</v>
      </c>
      <c r="K21" s="89">
        <v>3</v>
      </c>
      <c r="L21" s="89">
        <f t="shared" si="0"/>
        <v>21</v>
      </c>
      <c r="M21" s="89">
        <f t="shared" si="1"/>
        <v>2.625</v>
      </c>
    </row>
    <row r="22" spans="1:13" ht="15.6" x14ac:dyDescent="0.3">
      <c r="A22" s="90" t="s">
        <v>76</v>
      </c>
      <c r="B22" s="89">
        <v>1</v>
      </c>
      <c r="C22" s="89">
        <v>0</v>
      </c>
      <c r="D22" s="89"/>
      <c r="E22" s="89"/>
      <c r="F22" s="89">
        <v>0</v>
      </c>
      <c r="G22" s="89">
        <v>0</v>
      </c>
      <c r="H22" s="89">
        <v>0</v>
      </c>
      <c r="I22" s="89">
        <v>5</v>
      </c>
      <c r="J22" s="89">
        <v>0</v>
      </c>
      <c r="K22" s="89">
        <v>0</v>
      </c>
      <c r="L22" s="89">
        <f t="shared" si="0"/>
        <v>6</v>
      </c>
      <c r="M22" s="89">
        <f t="shared" si="1"/>
        <v>0.75</v>
      </c>
    </row>
    <row r="27" spans="1:13" ht="28.8" x14ac:dyDescent="0.55000000000000004">
      <c r="F27" s="95" t="s">
        <v>288</v>
      </c>
      <c r="G27" s="94"/>
    </row>
    <row r="30" spans="1:13" ht="45.6" x14ac:dyDescent="0.3">
      <c r="A30" s="47" t="s">
        <v>198</v>
      </c>
      <c r="B30" s="48" t="s">
        <v>199</v>
      </c>
      <c r="C30" s="49" t="s">
        <v>200</v>
      </c>
      <c r="D30" s="49"/>
      <c r="E30" s="48" t="s">
        <v>201</v>
      </c>
      <c r="F30" s="49" t="s">
        <v>202</v>
      </c>
      <c r="G30" s="49" t="s">
        <v>240</v>
      </c>
      <c r="H30" s="49" t="s">
        <v>42</v>
      </c>
      <c r="I30" s="48" t="s">
        <v>203</v>
      </c>
      <c r="J30" s="49" t="s">
        <v>221</v>
      </c>
      <c r="K30" s="49" t="s">
        <v>69</v>
      </c>
      <c r="L30" s="49" t="s">
        <v>204</v>
      </c>
    </row>
    <row r="31" spans="1:13" ht="23.4" x14ac:dyDescent="0.45">
      <c r="A31" s="50" t="s">
        <v>205</v>
      </c>
      <c r="B31" s="89">
        <v>5</v>
      </c>
      <c r="C31" s="89">
        <v>3</v>
      </c>
      <c r="D31" s="89"/>
      <c r="E31" s="89">
        <v>3</v>
      </c>
      <c r="F31" s="89">
        <v>0</v>
      </c>
      <c r="G31" s="89">
        <v>5</v>
      </c>
      <c r="H31" s="89">
        <v>2</v>
      </c>
      <c r="I31" s="89">
        <v>1</v>
      </c>
      <c r="J31" s="89">
        <v>3</v>
      </c>
      <c r="K31" s="89">
        <f>AVERAGE(B31:J31)</f>
        <v>2.75</v>
      </c>
      <c r="L31" s="89">
        <v>3</v>
      </c>
    </row>
    <row r="32" spans="1:13" ht="23.4" x14ac:dyDescent="0.45">
      <c r="A32" s="50" t="s">
        <v>206</v>
      </c>
      <c r="B32" s="89">
        <v>0</v>
      </c>
      <c r="C32" s="89">
        <v>0</v>
      </c>
      <c r="D32" s="89"/>
      <c r="E32" s="89">
        <v>0</v>
      </c>
      <c r="F32" s="89">
        <v>0</v>
      </c>
      <c r="G32" s="89">
        <v>1</v>
      </c>
      <c r="H32" s="89">
        <v>0</v>
      </c>
      <c r="I32" s="89">
        <v>0</v>
      </c>
      <c r="J32" s="89">
        <v>2</v>
      </c>
      <c r="K32" s="89">
        <f t="shared" ref="K32:K46" si="2">AVERAGE(B32:J32)</f>
        <v>0.375</v>
      </c>
      <c r="L32" s="89">
        <v>1</v>
      </c>
    </row>
    <row r="33" spans="1:12" ht="23.4" x14ac:dyDescent="0.45">
      <c r="A33" s="50" t="s">
        <v>207</v>
      </c>
      <c r="B33" s="89">
        <v>1</v>
      </c>
      <c r="C33" s="89">
        <v>0</v>
      </c>
      <c r="D33" s="89"/>
      <c r="E33" s="89">
        <v>2</v>
      </c>
      <c r="F33" s="89">
        <v>0</v>
      </c>
      <c r="G33" s="89">
        <v>0</v>
      </c>
      <c r="H33" s="89">
        <v>2</v>
      </c>
      <c r="I33" s="89">
        <v>0</v>
      </c>
      <c r="J33" s="89">
        <v>0</v>
      </c>
      <c r="K33" s="89">
        <f t="shared" si="2"/>
        <v>0.625</v>
      </c>
      <c r="L33" s="89">
        <v>1</v>
      </c>
    </row>
    <row r="34" spans="1:12" ht="23.4" x14ac:dyDescent="0.45">
      <c r="A34" s="50" t="s">
        <v>208</v>
      </c>
      <c r="B34" s="89">
        <v>0</v>
      </c>
      <c r="C34" s="89">
        <v>0</v>
      </c>
      <c r="D34" s="89"/>
      <c r="E34" s="89">
        <v>2</v>
      </c>
      <c r="F34" s="89">
        <v>4</v>
      </c>
      <c r="G34" s="89">
        <v>0</v>
      </c>
      <c r="H34" s="89">
        <v>2</v>
      </c>
      <c r="I34" s="89">
        <v>3</v>
      </c>
      <c r="J34" s="89">
        <v>0</v>
      </c>
      <c r="K34" s="89">
        <f t="shared" si="2"/>
        <v>1.375</v>
      </c>
      <c r="L34" s="89">
        <v>2</v>
      </c>
    </row>
    <row r="35" spans="1:12" ht="23.4" x14ac:dyDescent="0.45">
      <c r="A35" s="50" t="s">
        <v>209</v>
      </c>
      <c r="B35" s="89">
        <v>0</v>
      </c>
      <c r="C35" s="89">
        <v>0</v>
      </c>
      <c r="D35" s="89"/>
      <c r="E35" s="89">
        <v>2</v>
      </c>
      <c r="F35" s="89">
        <v>4</v>
      </c>
      <c r="G35" s="89">
        <v>1</v>
      </c>
      <c r="H35" s="89">
        <v>2</v>
      </c>
      <c r="I35" s="89">
        <v>2</v>
      </c>
      <c r="J35" s="89">
        <v>0</v>
      </c>
      <c r="K35" s="89">
        <f t="shared" si="2"/>
        <v>1.375</v>
      </c>
      <c r="L35" s="89">
        <v>2</v>
      </c>
    </row>
    <row r="36" spans="1:12" ht="23.4" x14ac:dyDescent="0.45">
      <c r="A36" s="50" t="s">
        <v>210</v>
      </c>
      <c r="B36" s="89">
        <v>0</v>
      </c>
      <c r="C36" s="89">
        <v>0</v>
      </c>
      <c r="D36" s="89"/>
      <c r="E36" s="89">
        <v>2</v>
      </c>
      <c r="F36" s="89">
        <v>4</v>
      </c>
      <c r="G36" s="89">
        <v>0</v>
      </c>
      <c r="H36" s="89">
        <v>2</v>
      </c>
      <c r="I36" s="89">
        <v>0</v>
      </c>
      <c r="J36" s="89">
        <v>0</v>
      </c>
      <c r="K36" s="89">
        <f t="shared" si="2"/>
        <v>1</v>
      </c>
      <c r="L36" s="89">
        <v>1</v>
      </c>
    </row>
    <row r="37" spans="1:12" ht="23.4" x14ac:dyDescent="0.45">
      <c r="A37" s="50" t="s">
        <v>211</v>
      </c>
      <c r="B37" s="89">
        <v>0</v>
      </c>
      <c r="C37" s="89">
        <v>0</v>
      </c>
      <c r="D37" s="89"/>
      <c r="E37" s="89">
        <v>0</v>
      </c>
      <c r="F37" s="89">
        <v>0</v>
      </c>
      <c r="G37" s="89">
        <v>0</v>
      </c>
      <c r="H37" s="89">
        <v>0</v>
      </c>
      <c r="I37" s="89">
        <v>0</v>
      </c>
      <c r="J37" s="89">
        <v>0</v>
      </c>
      <c r="K37" s="89">
        <f t="shared" si="2"/>
        <v>0</v>
      </c>
      <c r="L37" s="89">
        <v>0</v>
      </c>
    </row>
    <row r="38" spans="1:12" ht="23.4" x14ac:dyDescent="0.45">
      <c r="A38" s="55" t="s">
        <v>212</v>
      </c>
      <c r="B38" s="89">
        <v>0</v>
      </c>
      <c r="C38" s="89">
        <v>0</v>
      </c>
      <c r="D38" s="89"/>
      <c r="E38" s="89">
        <v>1</v>
      </c>
      <c r="F38" s="89">
        <v>0</v>
      </c>
      <c r="G38" s="89">
        <v>1</v>
      </c>
      <c r="H38" s="89">
        <v>0</v>
      </c>
      <c r="I38" s="89">
        <v>1</v>
      </c>
      <c r="J38" s="89">
        <v>1</v>
      </c>
      <c r="K38" s="89">
        <f t="shared" si="2"/>
        <v>0.5</v>
      </c>
      <c r="L38" s="89">
        <v>1</v>
      </c>
    </row>
    <row r="39" spans="1:12" ht="23.4" x14ac:dyDescent="0.45">
      <c r="A39" s="50" t="s">
        <v>213</v>
      </c>
      <c r="B39" s="89"/>
      <c r="C39" s="89">
        <v>0</v>
      </c>
      <c r="D39" s="89"/>
      <c r="E39" s="89">
        <v>0</v>
      </c>
      <c r="F39" s="89">
        <v>0</v>
      </c>
      <c r="G39" s="89">
        <v>3</v>
      </c>
      <c r="H39" s="89">
        <v>2</v>
      </c>
      <c r="I39" s="89">
        <v>3</v>
      </c>
      <c r="J39" s="89">
        <v>0</v>
      </c>
      <c r="K39" s="89">
        <f t="shared" si="2"/>
        <v>1.1428571428571428</v>
      </c>
      <c r="L39" s="89">
        <v>1</v>
      </c>
    </row>
    <row r="40" spans="1:12" ht="23.4" x14ac:dyDescent="0.45">
      <c r="A40" s="50" t="s">
        <v>214</v>
      </c>
      <c r="B40" s="89"/>
      <c r="C40" s="89">
        <v>0</v>
      </c>
      <c r="D40" s="89"/>
      <c r="E40" s="89">
        <v>1</v>
      </c>
      <c r="F40" s="89">
        <v>0</v>
      </c>
      <c r="G40" s="89">
        <v>3</v>
      </c>
      <c r="H40" s="89">
        <v>1</v>
      </c>
      <c r="I40" s="89">
        <v>0</v>
      </c>
      <c r="J40" s="89">
        <v>0</v>
      </c>
      <c r="K40" s="89">
        <f t="shared" si="2"/>
        <v>0.7142857142857143</v>
      </c>
      <c r="L40" s="89">
        <v>1</v>
      </c>
    </row>
    <row r="41" spans="1:12" ht="23.4" x14ac:dyDescent="0.45">
      <c r="A41" s="50" t="s">
        <v>215</v>
      </c>
      <c r="B41" s="89">
        <v>4</v>
      </c>
      <c r="C41" s="89">
        <v>0</v>
      </c>
      <c r="D41" s="89"/>
      <c r="E41" s="89">
        <v>0</v>
      </c>
      <c r="F41" s="89">
        <v>0</v>
      </c>
      <c r="G41" s="89">
        <v>0</v>
      </c>
      <c r="H41" s="89">
        <v>2</v>
      </c>
      <c r="I41" s="89">
        <v>0</v>
      </c>
      <c r="J41" s="89">
        <v>0</v>
      </c>
      <c r="K41" s="89">
        <f t="shared" si="2"/>
        <v>0.75</v>
      </c>
      <c r="L41" s="89">
        <v>1</v>
      </c>
    </row>
    <row r="42" spans="1:12" ht="23.4" x14ac:dyDescent="0.45">
      <c r="A42" s="50" t="s">
        <v>216</v>
      </c>
      <c r="B42" s="89">
        <v>4</v>
      </c>
      <c r="C42" s="89">
        <v>1</v>
      </c>
      <c r="D42" s="89"/>
      <c r="E42" s="89">
        <v>0</v>
      </c>
      <c r="F42" s="89">
        <v>0</v>
      </c>
      <c r="G42" s="89">
        <v>1</v>
      </c>
      <c r="H42" s="89">
        <v>2</v>
      </c>
      <c r="I42" s="89">
        <v>0</v>
      </c>
      <c r="J42" s="89">
        <v>1</v>
      </c>
      <c r="K42" s="89">
        <f t="shared" si="2"/>
        <v>1.125</v>
      </c>
      <c r="L42" s="89">
        <v>1</v>
      </c>
    </row>
    <row r="43" spans="1:12" ht="23.4" x14ac:dyDescent="0.45">
      <c r="A43" s="50" t="s">
        <v>217</v>
      </c>
      <c r="B43" s="89"/>
      <c r="C43" s="89">
        <v>0</v>
      </c>
      <c r="D43" s="89"/>
      <c r="E43" s="89">
        <v>0</v>
      </c>
      <c r="F43" s="89">
        <v>0</v>
      </c>
      <c r="G43" s="89">
        <v>0</v>
      </c>
      <c r="H43" s="89">
        <v>2</v>
      </c>
      <c r="I43" s="89">
        <v>0</v>
      </c>
      <c r="J43" s="89">
        <v>0</v>
      </c>
      <c r="K43" s="89">
        <f t="shared" si="2"/>
        <v>0.2857142857142857</v>
      </c>
      <c r="L43" s="89">
        <v>1</v>
      </c>
    </row>
    <row r="44" spans="1:12" ht="23.4" x14ac:dyDescent="0.45">
      <c r="A44" s="50" t="s">
        <v>218</v>
      </c>
      <c r="B44" s="89"/>
      <c r="C44" s="89">
        <v>0</v>
      </c>
      <c r="D44" s="89"/>
      <c r="E44" s="89">
        <v>1</v>
      </c>
      <c r="F44" s="89">
        <v>4</v>
      </c>
      <c r="G44" s="89">
        <v>4</v>
      </c>
      <c r="H44" s="89">
        <v>0</v>
      </c>
      <c r="I44" s="89">
        <v>0</v>
      </c>
      <c r="J44" s="89">
        <v>0</v>
      </c>
      <c r="K44" s="89">
        <f t="shared" si="2"/>
        <v>1.2857142857142858</v>
      </c>
      <c r="L44" s="89">
        <v>1</v>
      </c>
    </row>
    <row r="45" spans="1:12" ht="23.4" x14ac:dyDescent="0.45">
      <c r="A45" s="50" t="s">
        <v>219</v>
      </c>
      <c r="B45" s="89"/>
      <c r="C45" s="89">
        <v>0</v>
      </c>
      <c r="D45" s="89"/>
      <c r="E45" s="89">
        <v>1</v>
      </c>
      <c r="F45" s="89">
        <v>4</v>
      </c>
      <c r="G45" s="89">
        <v>0</v>
      </c>
      <c r="H45" s="89">
        <v>2</v>
      </c>
      <c r="I45" s="89">
        <v>0</v>
      </c>
      <c r="J45" s="89">
        <v>1</v>
      </c>
      <c r="K45" s="89">
        <f t="shared" si="2"/>
        <v>1.1428571428571428</v>
      </c>
      <c r="L45" s="89">
        <v>1</v>
      </c>
    </row>
    <row r="46" spans="1:12" ht="23.4" x14ac:dyDescent="0.3">
      <c r="A46" s="54" t="s">
        <v>220</v>
      </c>
      <c r="B46" s="89">
        <v>9</v>
      </c>
      <c r="C46" s="89">
        <v>10</v>
      </c>
      <c r="D46" s="89"/>
      <c r="E46" s="89">
        <v>18</v>
      </c>
      <c r="F46" s="89">
        <v>7</v>
      </c>
      <c r="G46" s="89">
        <v>6</v>
      </c>
      <c r="H46" s="89">
        <v>15</v>
      </c>
      <c r="I46" s="89">
        <v>18</v>
      </c>
      <c r="J46" s="89">
        <v>3</v>
      </c>
      <c r="K46" s="89">
        <f t="shared" si="2"/>
        <v>10.75</v>
      </c>
      <c r="L46" s="89">
        <v>11</v>
      </c>
    </row>
    <row r="50" spans="1:12" ht="28.8" x14ac:dyDescent="0.55000000000000004">
      <c r="F50" s="95" t="s">
        <v>289</v>
      </c>
      <c r="G50" s="94"/>
    </row>
    <row r="54" spans="1:12" ht="45.6" x14ac:dyDescent="0.3">
      <c r="A54" s="47" t="s">
        <v>222</v>
      </c>
      <c r="B54" s="48" t="s">
        <v>199</v>
      </c>
      <c r="C54" s="49" t="s">
        <v>200</v>
      </c>
      <c r="D54" s="49" t="s">
        <v>221</v>
      </c>
      <c r="E54" s="49" t="s">
        <v>240</v>
      </c>
      <c r="F54" s="48" t="s">
        <v>201</v>
      </c>
      <c r="G54" s="49" t="s">
        <v>202</v>
      </c>
      <c r="H54" s="48" t="s">
        <v>203</v>
      </c>
      <c r="I54" s="48" t="s">
        <v>42</v>
      </c>
      <c r="J54" s="49" t="s">
        <v>68</v>
      </c>
      <c r="K54" s="49" t="s">
        <v>69</v>
      </c>
      <c r="L54" s="49" t="s">
        <v>204</v>
      </c>
    </row>
    <row r="55" spans="1:12" ht="25.8" x14ac:dyDescent="0.3">
      <c r="A55" s="56" t="s">
        <v>223</v>
      </c>
      <c r="B55" s="89">
        <v>2</v>
      </c>
      <c r="C55" s="89">
        <v>1</v>
      </c>
      <c r="D55" s="89">
        <v>3</v>
      </c>
      <c r="E55" s="89">
        <v>2</v>
      </c>
      <c r="F55" s="89">
        <v>3</v>
      </c>
      <c r="G55" s="89">
        <v>1</v>
      </c>
      <c r="H55" s="89">
        <v>4</v>
      </c>
      <c r="I55" s="89">
        <v>1</v>
      </c>
      <c r="J55" s="89">
        <f>SUM(B55:I55)</f>
        <v>17</v>
      </c>
      <c r="K55" s="89">
        <f>AVERAGE(B55:I55)</f>
        <v>2.125</v>
      </c>
      <c r="L55" s="89">
        <v>2</v>
      </c>
    </row>
    <row r="56" spans="1:12" ht="25.8" x14ac:dyDescent="0.3">
      <c r="A56" s="56" t="s">
        <v>224</v>
      </c>
      <c r="B56" s="89">
        <v>0</v>
      </c>
      <c r="C56" s="89">
        <v>0</v>
      </c>
      <c r="D56" s="89">
        <v>0</v>
      </c>
      <c r="E56" s="89">
        <v>0</v>
      </c>
      <c r="F56" s="89">
        <v>0</v>
      </c>
      <c r="G56" s="89">
        <v>0</v>
      </c>
      <c r="H56" s="89">
        <v>0</v>
      </c>
      <c r="I56" s="89">
        <v>0</v>
      </c>
      <c r="J56" s="89">
        <f t="shared" ref="J56:J70" si="3">SUM(B56:I56)</f>
        <v>0</v>
      </c>
      <c r="K56" s="89">
        <f t="shared" ref="K56:K70" si="4">AVERAGE(B56:I56)</f>
        <v>0</v>
      </c>
      <c r="L56" s="89">
        <v>0</v>
      </c>
    </row>
    <row r="57" spans="1:12" ht="25.8" x14ac:dyDescent="0.3">
      <c r="A57" s="56" t="s">
        <v>225</v>
      </c>
      <c r="B57" s="89">
        <v>0</v>
      </c>
      <c r="C57" s="89">
        <v>1</v>
      </c>
      <c r="D57" s="89">
        <v>0</v>
      </c>
      <c r="E57" s="89">
        <v>0</v>
      </c>
      <c r="F57" s="89">
        <v>1</v>
      </c>
      <c r="G57" s="89">
        <v>0</v>
      </c>
      <c r="H57" s="89">
        <v>0</v>
      </c>
      <c r="I57" s="89">
        <v>0</v>
      </c>
      <c r="J57" s="89">
        <f t="shared" si="3"/>
        <v>2</v>
      </c>
      <c r="K57" s="89">
        <f t="shared" si="4"/>
        <v>0.25</v>
      </c>
      <c r="L57" s="89">
        <v>1</v>
      </c>
    </row>
    <row r="58" spans="1:12" ht="25.8" x14ac:dyDescent="0.3">
      <c r="A58" s="56" t="s">
        <v>226</v>
      </c>
      <c r="B58" s="89">
        <v>0</v>
      </c>
      <c r="C58" s="89">
        <v>1</v>
      </c>
      <c r="D58" s="89">
        <v>0</v>
      </c>
      <c r="E58" s="89">
        <v>0</v>
      </c>
      <c r="F58" s="89">
        <v>1</v>
      </c>
      <c r="G58" s="89">
        <v>0</v>
      </c>
      <c r="H58" s="89">
        <v>0</v>
      </c>
      <c r="I58" s="89">
        <v>0</v>
      </c>
      <c r="J58" s="89">
        <f t="shared" si="3"/>
        <v>2</v>
      </c>
      <c r="K58" s="89">
        <f t="shared" si="4"/>
        <v>0.25</v>
      </c>
      <c r="L58" s="89">
        <v>1</v>
      </c>
    </row>
    <row r="59" spans="1:12" ht="25.8" x14ac:dyDescent="0.3">
      <c r="A59" s="56" t="s">
        <v>227</v>
      </c>
      <c r="B59" s="89">
        <v>0</v>
      </c>
      <c r="C59" s="89">
        <v>0</v>
      </c>
      <c r="D59" s="89">
        <v>0</v>
      </c>
      <c r="E59" s="89">
        <v>0</v>
      </c>
      <c r="F59" s="89">
        <v>0</v>
      </c>
      <c r="G59" s="89">
        <v>0</v>
      </c>
      <c r="H59" s="89">
        <v>0</v>
      </c>
      <c r="I59" s="89">
        <v>0</v>
      </c>
      <c r="J59" s="89">
        <f t="shared" si="3"/>
        <v>0</v>
      </c>
      <c r="K59" s="89">
        <f t="shared" si="4"/>
        <v>0</v>
      </c>
      <c r="L59" s="89">
        <v>0</v>
      </c>
    </row>
    <row r="60" spans="1:12" ht="25.8" x14ac:dyDescent="0.3">
      <c r="A60" s="56" t="s">
        <v>228</v>
      </c>
      <c r="B60" s="89">
        <v>0</v>
      </c>
      <c r="C60" s="89">
        <v>0</v>
      </c>
      <c r="D60" s="89">
        <v>0</v>
      </c>
      <c r="E60" s="89">
        <v>0</v>
      </c>
      <c r="F60" s="89">
        <v>0</v>
      </c>
      <c r="G60" s="89">
        <v>0</v>
      </c>
      <c r="H60" s="89">
        <v>0</v>
      </c>
      <c r="I60" s="89">
        <v>0</v>
      </c>
      <c r="J60" s="89">
        <f t="shared" si="3"/>
        <v>0</v>
      </c>
      <c r="K60" s="89">
        <f t="shared" si="4"/>
        <v>0</v>
      </c>
      <c r="L60" s="89">
        <v>0</v>
      </c>
    </row>
    <row r="61" spans="1:12" ht="25.8" x14ac:dyDescent="0.3">
      <c r="A61" s="56" t="s">
        <v>229</v>
      </c>
      <c r="B61" s="89">
        <v>2</v>
      </c>
      <c r="C61" s="89">
        <v>1</v>
      </c>
      <c r="D61" s="89">
        <v>0</v>
      </c>
      <c r="E61" s="89">
        <v>1</v>
      </c>
      <c r="F61" s="89">
        <v>0</v>
      </c>
      <c r="G61" s="89">
        <v>0</v>
      </c>
      <c r="H61" s="89">
        <v>2</v>
      </c>
      <c r="I61" s="89">
        <v>3</v>
      </c>
      <c r="J61" s="89">
        <f t="shared" si="3"/>
        <v>9</v>
      </c>
      <c r="K61" s="89">
        <f t="shared" si="4"/>
        <v>1.125</v>
      </c>
      <c r="L61" s="89">
        <v>1</v>
      </c>
    </row>
    <row r="62" spans="1:12" ht="25.8" x14ac:dyDescent="0.3">
      <c r="A62" s="56" t="s">
        <v>230</v>
      </c>
      <c r="B62" s="89">
        <v>0</v>
      </c>
      <c r="C62" s="89">
        <v>0</v>
      </c>
      <c r="D62" s="89">
        <v>0</v>
      </c>
      <c r="E62" s="89">
        <v>0</v>
      </c>
      <c r="F62" s="89">
        <v>1</v>
      </c>
      <c r="G62" s="89">
        <v>0</v>
      </c>
      <c r="H62" s="89">
        <v>0</v>
      </c>
      <c r="I62" s="89">
        <v>0</v>
      </c>
      <c r="J62" s="89">
        <f t="shared" si="3"/>
        <v>1</v>
      </c>
      <c r="K62" s="89">
        <f t="shared" si="4"/>
        <v>0.125</v>
      </c>
      <c r="L62" s="89">
        <v>1</v>
      </c>
    </row>
    <row r="63" spans="1:12" ht="25.8" x14ac:dyDescent="0.3">
      <c r="A63" s="56" t="s">
        <v>231</v>
      </c>
      <c r="B63" s="89">
        <v>0</v>
      </c>
      <c r="C63" s="89">
        <v>0</v>
      </c>
      <c r="D63" s="89">
        <v>0</v>
      </c>
      <c r="E63" s="89">
        <v>0</v>
      </c>
      <c r="F63" s="89">
        <v>0</v>
      </c>
      <c r="G63" s="89">
        <v>4</v>
      </c>
      <c r="H63" s="89">
        <v>0</v>
      </c>
      <c r="I63" s="89">
        <v>2</v>
      </c>
      <c r="J63" s="89">
        <f t="shared" si="3"/>
        <v>6</v>
      </c>
      <c r="K63" s="89">
        <f t="shared" si="4"/>
        <v>0.75</v>
      </c>
      <c r="L63" s="89">
        <v>1</v>
      </c>
    </row>
    <row r="64" spans="1:12" ht="25.8" x14ac:dyDescent="0.3">
      <c r="A64" s="56" t="s">
        <v>232</v>
      </c>
      <c r="B64" s="89">
        <v>0</v>
      </c>
      <c r="C64" s="89">
        <v>0</v>
      </c>
      <c r="D64" s="89">
        <v>0</v>
      </c>
      <c r="E64" s="89">
        <v>0</v>
      </c>
      <c r="F64" s="89">
        <v>0</v>
      </c>
      <c r="G64" s="89">
        <v>0</v>
      </c>
      <c r="H64" s="89">
        <v>0</v>
      </c>
      <c r="I64" s="89">
        <v>1</v>
      </c>
      <c r="J64" s="89">
        <f t="shared" si="3"/>
        <v>1</v>
      </c>
      <c r="K64" s="89">
        <f t="shared" si="4"/>
        <v>0.125</v>
      </c>
      <c r="L64" s="89">
        <v>1</v>
      </c>
    </row>
    <row r="65" spans="1:12" ht="25.8" x14ac:dyDescent="0.3">
      <c r="A65" s="56" t="s">
        <v>233</v>
      </c>
      <c r="B65" s="89">
        <v>3</v>
      </c>
      <c r="C65" s="89">
        <v>0</v>
      </c>
      <c r="D65" s="89">
        <v>0</v>
      </c>
      <c r="E65" s="89">
        <v>0</v>
      </c>
      <c r="F65" s="89">
        <v>0</v>
      </c>
      <c r="G65" s="89">
        <v>1</v>
      </c>
      <c r="H65" s="89">
        <v>0</v>
      </c>
      <c r="I65" s="89">
        <v>2</v>
      </c>
      <c r="J65" s="89">
        <f t="shared" si="3"/>
        <v>6</v>
      </c>
      <c r="K65" s="89">
        <f t="shared" si="4"/>
        <v>0.75</v>
      </c>
      <c r="L65" s="89">
        <v>1</v>
      </c>
    </row>
    <row r="66" spans="1:12" ht="25.8" x14ac:dyDescent="0.3">
      <c r="A66" s="61" t="s">
        <v>234</v>
      </c>
      <c r="B66" s="89">
        <v>0</v>
      </c>
      <c r="C66" s="89">
        <v>0</v>
      </c>
      <c r="D66" s="89">
        <v>0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f t="shared" si="3"/>
        <v>0</v>
      </c>
      <c r="K66" s="89">
        <f t="shared" si="4"/>
        <v>0</v>
      </c>
      <c r="L66" s="89">
        <v>0</v>
      </c>
    </row>
    <row r="67" spans="1:12" ht="25.8" x14ac:dyDescent="0.3">
      <c r="A67" s="56" t="s">
        <v>235</v>
      </c>
      <c r="B67" s="89">
        <v>3</v>
      </c>
      <c r="C67" s="89">
        <v>3</v>
      </c>
      <c r="D67" s="89">
        <v>3</v>
      </c>
      <c r="E67" s="89">
        <v>0</v>
      </c>
      <c r="F67" s="89">
        <v>3</v>
      </c>
      <c r="G67" s="89">
        <v>5</v>
      </c>
      <c r="H67" s="89">
        <v>0</v>
      </c>
      <c r="I67" s="89">
        <v>4</v>
      </c>
      <c r="J67" s="89">
        <f t="shared" si="3"/>
        <v>21</v>
      </c>
      <c r="K67" s="89">
        <f t="shared" si="4"/>
        <v>2.625</v>
      </c>
      <c r="L67" s="89">
        <v>3</v>
      </c>
    </row>
    <row r="68" spans="1:12" ht="25.8" x14ac:dyDescent="0.3">
      <c r="A68" s="56" t="s">
        <v>236</v>
      </c>
      <c r="B68" s="89">
        <v>0</v>
      </c>
      <c r="C68" s="89">
        <v>0</v>
      </c>
      <c r="D68" s="89">
        <v>0</v>
      </c>
      <c r="E68" s="89">
        <v>0</v>
      </c>
      <c r="F68" s="89">
        <v>2</v>
      </c>
      <c r="G68" s="89">
        <v>0</v>
      </c>
      <c r="H68" s="89">
        <v>0</v>
      </c>
      <c r="I68" s="89">
        <v>1</v>
      </c>
      <c r="J68" s="89">
        <f t="shared" si="3"/>
        <v>3</v>
      </c>
      <c r="K68" s="89">
        <f t="shared" si="4"/>
        <v>0.375</v>
      </c>
      <c r="L68" s="89">
        <v>1</v>
      </c>
    </row>
    <row r="69" spans="1:12" ht="25.8" x14ac:dyDescent="0.3">
      <c r="A69" s="56" t="s">
        <v>237</v>
      </c>
      <c r="B69" s="89">
        <v>0</v>
      </c>
      <c r="C69" s="89">
        <v>0</v>
      </c>
      <c r="D69" s="89">
        <v>0</v>
      </c>
      <c r="E69" s="89">
        <v>0</v>
      </c>
      <c r="F69" s="89">
        <v>0</v>
      </c>
      <c r="G69" s="89">
        <v>0</v>
      </c>
      <c r="H69" s="89">
        <v>0</v>
      </c>
      <c r="I69" s="89">
        <v>7</v>
      </c>
      <c r="J69" s="89">
        <f t="shared" si="3"/>
        <v>7</v>
      </c>
      <c r="K69" s="89">
        <f t="shared" si="4"/>
        <v>0.875</v>
      </c>
      <c r="L69" s="89">
        <v>1</v>
      </c>
    </row>
    <row r="70" spans="1:12" ht="25.8" x14ac:dyDescent="0.3">
      <c r="A70" s="56" t="s">
        <v>238</v>
      </c>
      <c r="B70" s="89">
        <v>0</v>
      </c>
      <c r="C70" s="89">
        <v>0</v>
      </c>
      <c r="D70" s="89">
        <v>0</v>
      </c>
      <c r="E70" s="89">
        <v>0</v>
      </c>
      <c r="F70" s="89">
        <v>2</v>
      </c>
      <c r="G70" s="89">
        <v>0</v>
      </c>
      <c r="H70" s="89">
        <v>0</v>
      </c>
      <c r="I70" s="89">
        <v>4</v>
      </c>
      <c r="J70" s="89">
        <f t="shared" si="3"/>
        <v>6</v>
      </c>
      <c r="K70" s="89">
        <f t="shared" si="4"/>
        <v>0.75</v>
      </c>
      <c r="L70" s="89">
        <v>1</v>
      </c>
    </row>
    <row r="76" spans="1:12" ht="28.8" x14ac:dyDescent="0.55000000000000004">
      <c r="B76" s="95" t="s">
        <v>290</v>
      </c>
      <c r="C76" s="94"/>
      <c r="D76" s="94"/>
    </row>
    <row r="80" spans="1:12" ht="28.8" x14ac:dyDescent="0.55000000000000004">
      <c r="A80" s="65" t="s">
        <v>0</v>
      </c>
      <c r="B80" s="66" t="s">
        <v>241</v>
      </c>
      <c r="C80" s="67" t="s">
        <v>242</v>
      </c>
      <c r="D80" s="98"/>
    </row>
    <row r="81" spans="1:4" ht="28.8" x14ac:dyDescent="0.55000000000000004">
      <c r="A81" s="68" t="s">
        <v>12</v>
      </c>
      <c r="B81" s="89" t="s">
        <v>327</v>
      </c>
      <c r="C81" s="89" t="s">
        <v>249</v>
      </c>
      <c r="D81" s="99"/>
    </row>
    <row r="82" spans="1:4" ht="28.8" x14ac:dyDescent="0.55000000000000004">
      <c r="A82" s="68" t="s">
        <v>21</v>
      </c>
      <c r="B82" s="89" t="s">
        <v>328</v>
      </c>
      <c r="C82" s="89">
        <v>0</v>
      </c>
      <c r="D82" s="99"/>
    </row>
    <row r="83" spans="1:4" ht="28.8" x14ac:dyDescent="0.55000000000000004">
      <c r="A83" s="68" t="s">
        <v>29</v>
      </c>
      <c r="B83" s="89" t="s">
        <v>338</v>
      </c>
      <c r="C83" s="89">
        <v>0</v>
      </c>
      <c r="D83" s="99"/>
    </row>
    <row r="84" spans="1:4" ht="28.8" x14ac:dyDescent="0.55000000000000004">
      <c r="A84" s="68" t="s">
        <v>37</v>
      </c>
      <c r="B84" s="89" t="s">
        <v>329</v>
      </c>
      <c r="C84" s="89" t="s">
        <v>330</v>
      </c>
      <c r="D84" s="99"/>
    </row>
    <row r="85" spans="1:4" ht="28.8" x14ac:dyDescent="0.55000000000000004">
      <c r="A85" s="68" t="s">
        <v>42</v>
      </c>
      <c r="B85" s="89" t="s">
        <v>328</v>
      </c>
      <c r="C85" s="89" t="s">
        <v>331</v>
      </c>
      <c r="D85" s="99"/>
    </row>
    <row r="86" spans="1:4" ht="28.8" x14ac:dyDescent="0.55000000000000004">
      <c r="A86" s="68" t="s">
        <v>51</v>
      </c>
      <c r="B86" s="89" t="s">
        <v>332</v>
      </c>
      <c r="C86" s="89" t="s">
        <v>333</v>
      </c>
      <c r="D86" s="99"/>
    </row>
    <row r="87" spans="1:4" ht="28.8" x14ac:dyDescent="0.55000000000000004">
      <c r="A87" s="68" t="s">
        <v>53</v>
      </c>
      <c r="B87" s="89" t="s">
        <v>334</v>
      </c>
      <c r="C87" s="89" t="s">
        <v>337</v>
      </c>
      <c r="D87" s="99"/>
    </row>
    <row r="88" spans="1:4" ht="28.8" x14ac:dyDescent="0.55000000000000004">
      <c r="A88" s="68" t="s">
        <v>60</v>
      </c>
      <c r="B88" s="89" t="s">
        <v>335</v>
      </c>
      <c r="C88" s="89" t="s">
        <v>336</v>
      </c>
      <c r="D88" s="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B3FB-EC0B-4B3C-A242-AEA370AEC42A}">
  <dimension ref="A1:N88"/>
  <sheetViews>
    <sheetView zoomScale="50" workbookViewId="0">
      <selection sqref="A1:XFD1048576"/>
    </sheetView>
  </sheetViews>
  <sheetFormatPr defaultRowHeight="14.4" x14ac:dyDescent="0.3"/>
  <cols>
    <col min="1" max="1" width="64.5546875" bestFit="1" customWidth="1"/>
    <col min="2" max="2" width="24.77734375" bestFit="1" customWidth="1"/>
    <col min="3" max="3" width="25.77734375" bestFit="1" customWidth="1"/>
    <col min="4" max="4" width="10.44140625" bestFit="1" customWidth="1"/>
    <col min="5" max="5" width="14.44140625" bestFit="1" customWidth="1"/>
    <col min="6" max="6" width="18.33203125" bestFit="1" customWidth="1"/>
    <col min="7" max="7" width="14" bestFit="1" customWidth="1"/>
    <col min="8" max="8" width="13.44140625" customWidth="1"/>
    <col min="9" max="9" width="15.6640625" bestFit="1" customWidth="1"/>
    <col min="10" max="10" width="18.21875" bestFit="1" customWidth="1"/>
    <col min="11" max="11" width="12.6640625" customWidth="1"/>
    <col min="12" max="12" width="8.33203125" bestFit="1" customWidth="1"/>
    <col min="13" max="13" width="6.6640625" bestFit="1" customWidth="1"/>
  </cols>
  <sheetData>
    <row r="1" spans="1:14" ht="15.6" x14ac:dyDescent="0.3">
      <c r="A1" s="80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194</v>
      </c>
      <c r="N1" s="81" t="s">
        <v>195</v>
      </c>
    </row>
    <row r="2" spans="1:14" x14ac:dyDescent="0.3">
      <c r="A2" s="12" t="s">
        <v>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14" x14ac:dyDescent="0.3">
      <c r="A3" s="12" t="s">
        <v>21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1:14" x14ac:dyDescent="0.3">
      <c r="A4" s="12" t="s">
        <v>29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4" x14ac:dyDescent="0.3">
      <c r="A5" s="12" t="s">
        <v>37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14" x14ac:dyDescent="0.3">
      <c r="A6" s="12" t="s">
        <v>42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</row>
    <row r="7" spans="1:14" x14ac:dyDescent="0.3">
      <c r="A7" s="12" t="s">
        <v>51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</row>
    <row r="8" spans="1:14" x14ac:dyDescent="0.3">
      <c r="A8" s="12" t="s">
        <v>53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</row>
    <row r="9" spans="1:14" x14ac:dyDescent="0.3">
      <c r="A9" s="12" t="s">
        <v>60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</row>
    <row r="14" spans="1:14" ht="73.8" x14ac:dyDescent="0.45">
      <c r="A14" s="11" t="s">
        <v>67</v>
      </c>
      <c r="B14" s="25" t="s">
        <v>12</v>
      </c>
      <c r="C14" s="25" t="s">
        <v>21</v>
      </c>
      <c r="D14" s="25"/>
      <c r="E14" s="26" t="s">
        <v>29</v>
      </c>
      <c r="F14" s="26" t="s">
        <v>37</v>
      </c>
      <c r="G14" s="26" t="s">
        <v>42</v>
      </c>
      <c r="H14" s="26" t="s">
        <v>51</v>
      </c>
      <c r="I14" s="26" t="s">
        <v>53</v>
      </c>
      <c r="J14" s="26" t="s">
        <v>60</v>
      </c>
      <c r="K14" s="14" t="s">
        <v>68</v>
      </c>
      <c r="L14" s="44" t="s">
        <v>69</v>
      </c>
      <c r="M14" s="91"/>
      <c r="N14" s="92"/>
    </row>
    <row r="15" spans="1:14" ht="15.6" x14ac:dyDescent="0.3">
      <c r="A15" s="90" t="s">
        <v>70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</row>
    <row r="16" spans="1:14" ht="15.6" x14ac:dyDescent="0.3">
      <c r="A16" s="90" t="s">
        <v>71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</row>
    <row r="17" spans="1:12" ht="15.6" x14ac:dyDescent="0.3">
      <c r="A17" s="90" t="s">
        <v>72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</row>
    <row r="18" spans="1:12" ht="15.6" x14ac:dyDescent="0.3">
      <c r="A18" s="90" t="s">
        <v>73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</row>
    <row r="19" spans="1:12" ht="15.6" x14ac:dyDescent="0.3">
      <c r="A19" s="90" t="s">
        <v>10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</row>
    <row r="20" spans="1:12" ht="15.6" x14ac:dyDescent="0.3">
      <c r="A20" s="90" t="s">
        <v>74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</row>
    <row r="21" spans="1:12" ht="15.6" x14ac:dyDescent="0.3">
      <c r="A21" s="90" t="s">
        <v>75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</row>
    <row r="22" spans="1:12" ht="15.6" x14ac:dyDescent="0.3">
      <c r="A22" s="90" t="s">
        <v>76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</row>
    <row r="30" spans="1:12" ht="45.6" x14ac:dyDescent="0.3">
      <c r="A30" s="47" t="s">
        <v>198</v>
      </c>
      <c r="B30" s="48" t="s">
        <v>199</v>
      </c>
      <c r="C30" s="49" t="s">
        <v>200</v>
      </c>
      <c r="D30" s="48" t="s">
        <v>201</v>
      </c>
      <c r="E30" s="49" t="s">
        <v>202</v>
      </c>
      <c r="F30" s="49" t="s">
        <v>240</v>
      </c>
      <c r="G30" s="49" t="s">
        <v>42</v>
      </c>
      <c r="H30" s="48" t="s">
        <v>203</v>
      </c>
      <c r="I30" s="49" t="s">
        <v>68</v>
      </c>
      <c r="J30" s="49" t="s">
        <v>69</v>
      </c>
      <c r="K30" s="49" t="s">
        <v>204</v>
      </c>
    </row>
    <row r="31" spans="1:12" ht="23.4" x14ac:dyDescent="0.45">
      <c r="A31" s="50" t="s">
        <v>205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</row>
    <row r="32" spans="1:12" ht="23.4" x14ac:dyDescent="0.45">
      <c r="A32" s="50" t="s">
        <v>206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</row>
    <row r="33" spans="1:11" ht="23.4" x14ac:dyDescent="0.45">
      <c r="A33" s="50" t="s">
        <v>207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</row>
    <row r="34" spans="1:11" ht="23.4" x14ac:dyDescent="0.45">
      <c r="A34" s="50" t="s">
        <v>208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</row>
    <row r="35" spans="1:11" ht="23.4" x14ac:dyDescent="0.45">
      <c r="A35" s="50" t="s">
        <v>209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</row>
    <row r="36" spans="1:11" ht="23.4" x14ac:dyDescent="0.45">
      <c r="A36" s="50" t="s">
        <v>210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</row>
    <row r="37" spans="1:11" ht="23.4" x14ac:dyDescent="0.45">
      <c r="A37" s="50" t="s">
        <v>211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</row>
    <row r="38" spans="1:11" ht="23.4" x14ac:dyDescent="0.45">
      <c r="A38" s="55" t="s">
        <v>212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</row>
    <row r="39" spans="1:11" ht="23.4" x14ac:dyDescent="0.45">
      <c r="A39" s="50" t="s">
        <v>213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</row>
    <row r="40" spans="1:11" ht="23.4" x14ac:dyDescent="0.45">
      <c r="A40" s="50" t="s">
        <v>214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</row>
    <row r="41" spans="1:11" ht="23.4" x14ac:dyDescent="0.45">
      <c r="A41" s="50" t="s">
        <v>215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</row>
    <row r="42" spans="1:11" ht="23.4" x14ac:dyDescent="0.45">
      <c r="A42" s="50" t="s">
        <v>216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</row>
    <row r="43" spans="1:11" ht="23.4" x14ac:dyDescent="0.45">
      <c r="A43" s="50" t="s">
        <v>217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</row>
    <row r="44" spans="1:11" ht="23.4" x14ac:dyDescent="0.45">
      <c r="A44" s="50" t="s">
        <v>218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</row>
    <row r="45" spans="1:11" ht="23.4" x14ac:dyDescent="0.45">
      <c r="A45" s="50" t="s">
        <v>219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</row>
    <row r="46" spans="1:11" ht="23.4" x14ac:dyDescent="0.3">
      <c r="A46" s="54" t="s">
        <v>220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  <row r="54" spans="1:11" ht="45.6" x14ac:dyDescent="0.3">
      <c r="A54" s="47" t="s">
        <v>222</v>
      </c>
      <c r="B54" s="48" t="s">
        <v>199</v>
      </c>
      <c r="C54" s="49" t="s">
        <v>200</v>
      </c>
      <c r="D54" s="49" t="s">
        <v>240</v>
      </c>
      <c r="E54" s="48" t="s">
        <v>201</v>
      </c>
      <c r="F54" s="49" t="s">
        <v>202</v>
      </c>
      <c r="G54" s="48" t="s">
        <v>203</v>
      </c>
      <c r="H54" s="48" t="s">
        <v>42</v>
      </c>
      <c r="I54" s="49" t="s">
        <v>68</v>
      </c>
      <c r="J54" s="49" t="s">
        <v>69</v>
      </c>
      <c r="K54" s="49" t="s">
        <v>204</v>
      </c>
    </row>
    <row r="55" spans="1:11" ht="23.4" x14ac:dyDescent="0.45">
      <c r="A55" s="50" t="s">
        <v>205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</row>
    <row r="56" spans="1:11" ht="23.4" x14ac:dyDescent="0.45">
      <c r="A56" s="50" t="s">
        <v>206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</row>
    <row r="57" spans="1:11" ht="23.4" x14ac:dyDescent="0.45">
      <c r="A57" s="50" t="s">
        <v>207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</row>
    <row r="58" spans="1:11" ht="23.4" x14ac:dyDescent="0.45">
      <c r="A58" s="50" t="s">
        <v>208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</row>
    <row r="59" spans="1:11" ht="23.4" x14ac:dyDescent="0.45">
      <c r="A59" s="50" t="s">
        <v>209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</row>
    <row r="60" spans="1:11" ht="23.4" x14ac:dyDescent="0.45">
      <c r="A60" s="50" t="s">
        <v>210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</row>
    <row r="61" spans="1:11" ht="23.4" x14ac:dyDescent="0.45">
      <c r="A61" s="50" t="s">
        <v>211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</row>
    <row r="62" spans="1:11" ht="23.4" x14ac:dyDescent="0.45">
      <c r="A62" s="55" t="s">
        <v>212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</row>
    <row r="63" spans="1:11" ht="23.4" x14ac:dyDescent="0.45">
      <c r="A63" s="50" t="s">
        <v>213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</row>
    <row r="64" spans="1:11" ht="23.4" x14ac:dyDescent="0.45">
      <c r="A64" s="50" t="s">
        <v>214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ht="23.4" x14ac:dyDescent="0.45">
      <c r="A65" s="50" t="s">
        <v>215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ht="23.4" x14ac:dyDescent="0.45">
      <c r="A66" s="50" t="s">
        <v>216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ht="23.4" x14ac:dyDescent="0.45">
      <c r="A67" s="50" t="s">
        <v>217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</row>
    <row r="68" spans="1:11" ht="23.4" x14ac:dyDescent="0.45">
      <c r="A68" s="50" t="s">
        <v>218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</row>
    <row r="69" spans="1:11" ht="23.4" x14ac:dyDescent="0.45">
      <c r="A69" s="50" t="s">
        <v>219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</row>
    <row r="70" spans="1:11" ht="23.4" x14ac:dyDescent="0.3">
      <c r="A70" s="54" t="s">
        <v>220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</row>
    <row r="80" spans="1:11" ht="28.8" x14ac:dyDescent="0.55000000000000004">
      <c r="A80" s="65" t="s">
        <v>0</v>
      </c>
      <c r="B80" s="66" t="s">
        <v>241</v>
      </c>
      <c r="C80" s="67" t="s">
        <v>242</v>
      </c>
    </row>
    <row r="81" spans="1:3" ht="28.8" x14ac:dyDescent="0.55000000000000004">
      <c r="A81" s="68" t="s">
        <v>12</v>
      </c>
      <c r="B81" s="89"/>
      <c r="C81" s="89"/>
    </row>
    <row r="82" spans="1:3" ht="28.8" x14ac:dyDescent="0.55000000000000004">
      <c r="A82" s="68" t="s">
        <v>21</v>
      </c>
      <c r="B82" s="89"/>
      <c r="C82" s="89"/>
    </row>
    <row r="83" spans="1:3" ht="28.8" x14ac:dyDescent="0.55000000000000004">
      <c r="A83" s="68" t="s">
        <v>29</v>
      </c>
      <c r="B83" s="89"/>
      <c r="C83" s="89"/>
    </row>
    <row r="84" spans="1:3" ht="28.8" x14ac:dyDescent="0.55000000000000004">
      <c r="A84" s="68" t="s">
        <v>37</v>
      </c>
      <c r="B84" s="89"/>
      <c r="C84" s="89"/>
    </row>
    <row r="85" spans="1:3" ht="28.8" x14ac:dyDescent="0.55000000000000004">
      <c r="A85" s="68" t="s">
        <v>42</v>
      </c>
      <c r="B85" s="89"/>
      <c r="C85" s="89"/>
    </row>
    <row r="86" spans="1:3" ht="28.8" x14ac:dyDescent="0.55000000000000004">
      <c r="A86" s="68" t="s">
        <v>51</v>
      </c>
      <c r="B86" s="89"/>
      <c r="C86" s="89"/>
    </row>
    <row r="87" spans="1:3" ht="28.8" x14ac:dyDescent="0.55000000000000004">
      <c r="A87" s="68" t="s">
        <v>53</v>
      </c>
      <c r="B87" s="89"/>
      <c r="C87" s="89"/>
    </row>
    <row r="88" spans="1:3" ht="28.8" x14ac:dyDescent="0.55000000000000004">
      <c r="A88" s="68" t="s">
        <v>60</v>
      </c>
      <c r="B88" s="89"/>
      <c r="C88" s="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247F-40E8-4D0D-A0FE-425713A21087}">
  <dimension ref="A1:K31"/>
  <sheetViews>
    <sheetView topLeftCell="A5" zoomScale="84" workbookViewId="0">
      <selection activeCell="C3" sqref="C3"/>
    </sheetView>
  </sheetViews>
  <sheetFormatPr defaultRowHeight="14.4" x14ac:dyDescent="0.3"/>
  <cols>
    <col min="1" max="2" width="10.33203125" bestFit="1" customWidth="1"/>
    <col min="3" max="3" width="43.33203125" bestFit="1" customWidth="1"/>
    <col min="4" max="4" width="39.109375" bestFit="1" customWidth="1"/>
    <col min="5" max="5" width="26.21875" bestFit="1" customWidth="1"/>
    <col min="6" max="6" width="19.109375" bestFit="1" customWidth="1"/>
    <col min="7" max="7" width="49.88671875" bestFit="1" customWidth="1"/>
    <col min="8" max="8" width="17.5546875" bestFit="1" customWidth="1"/>
    <col min="9" max="9" width="17.21875" bestFit="1" customWidth="1"/>
    <col min="11" max="11" width="10.5546875" bestFit="1" customWidth="1"/>
  </cols>
  <sheetData>
    <row r="1" spans="1:11" ht="18" x14ac:dyDescent="0.35">
      <c r="A1" s="28" t="s">
        <v>131</v>
      </c>
      <c r="B1" s="28" t="s">
        <v>132</v>
      </c>
      <c r="C1" s="28" t="s">
        <v>67</v>
      </c>
      <c r="D1" s="28" t="s">
        <v>133</v>
      </c>
      <c r="E1" s="28" t="s">
        <v>134</v>
      </c>
      <c r="F1" s="28" t="s">
        <v>135</v>
      </c>
      <c r="G1" s="37" t="s">
        <v>197</v>
      </c>
      <c r="H1" s="28" t="s">
        <v>136</v>
      </c>
      <c r="I1" s="28" t="s">
        <v>9</v>
      </c>
      <c r="J1" s="28" t="s">
        <v>137</v>
      </c>
      <c r="K1" s="28" t="s">
        <v>8</v>
      </c>
    </row>
    <row r="2" spans="1:11" x14ac:dyDescent="0.3">
      <c r="A2" s="29" t="s">
        <v>138</v>
      </c>
      <c r="B2" s="30">
        <v>46113</v>
      </c>
      <c r="C2" s="29" t="s">
        <v>139</v>
      </c>
      <c r="D2" s="29" t="s">
        <v>140</v>
      </c>
      <c r="E2" s="29" t="s">
        <v>141</v>
      </c>
      <c r="F2" s="29" t="s">
        <v>142</v>
      </c>
      <c r="G2" s="29"/>
      <c r="H2" s="29"/>
      <c r="I2" s="29" t="s">
        <v>144</v>
      </c>
      <c r="J2" s="29">
        <v>1</v>
      </c>
      <c r="K2" s="29" t="s">
        <v>145</v>
      </c>
    </row>
    <row r="3" spans="1:11" x14ac:dyDescent="0.3">
      <c r="A3" s="29" t="s">
        <v>146</v>
      </c>
      <c r="B3" s="30">
        <v>46114</v>
      </c>
      <c r="C3" s="29" t="s">
        <v>147</v>
      </c>
      <c r="D3" s="29" t="s">
        <v>148</v>
      </c>
      <c r="E3" s="29" t="s">
        <v>188</v>
      </c>
      <c r="F3" s="29" t="s">
        <v>188</v>
      </c>
      <c r="G3" s="29"/>
      <c r="H3" s="29"/>
      <c r="I3" s="29" t="s">
        <v>144</v>
      </c>
      <c r="J3" s="29">
        <v>1</v>
      </c>
      <c r="K3" s="29" t="s">
        <v>145</v>
      </c>
    </row>
    <row r="4" spans="1:11" x14ac:dyDescent="0.3">
      <c r="A4" s="29" t="s">
        <v>149</v>
      </c>
      <c r="B4" s="30">
        <v>46115</v>
      </c>
      <c r="C4" s="29" t="s">
        <v>150</v>
      </c>
      <c r="D4" s="29" t="s">
        <v>142</v>
      </c>
      <c r="E4" s="29" t="s">
        <v>188</v>
      </c>
      <c r="F4" s="29" t="s">
        <v>188</v>
      </c>
      <c r="G4" s="29"/>
      <c r="H4" s="29"/>
      <c r="I4" s="29" t="s">
        <v>151</v>
      </c>
      <c r="J4" s="29">
        <v>2</v>
      </c>
      <c r="K4" s="29" t="s">
        <v>145</v>
      </c>
    </row>
    <row r="5" spans="1:11" x14ac:dyDescent="0.3">
      <c r="A5" s="31" t="s">
        <v>152</v>
      </c>
      <c r="B5" s="32">
        <v>46116</v>
      </c>
      <c r="C5" s="31"/>
      <c r="D5" s="31"/>
      <c r="E5" s="31"/>
      <c r="F5" s="31"/>
      <c r="G5" s="31"/>
      <c r="H5" s="31"/>
      <c r="I5" s="31"/>
      <c r="J5" s="31"/>
      <c r="K5" s="31" t="s">
        <v>145</v>
      </c>
    </row>
    <row r="6" spans="1:11" x14ac:dyDescent="0.3">
      <c r="A6" s="31" t="s">
        <v>153</v>
      </c>
      <c r="B6" s="32">
        <v>46117</v>
      </c>
      <c r="C6" s="31"/>
      <c r="D6" s="31"/>
      <c r="E6" s="31"/>
      <c r="F6" s="31"/>
      <c r="G6" s="31"/>
      <c r="H6" s="31"/>
      <c r="I6" s="31"/>
      <c r="J6" s="31"/>
      <c r="K6" s="31" t="s">
        <v>145</v>
      </c>
    </row>
    <row r="7" spans="1:11" x14ac:dyDescent="0.3">
      <c r="A7" s="29" t="s">
        <v>154</v>
      </c>
      <c r="B7" s="30">
        <v>46118</v>
      </c>
      <c r="C7" s="29" t="s">
        <v>155</v>
      </c>
      <c r="D7" s="29" t="s">
        <v>156</v>
      </c>
      <c r="E7" s="29" t="s">
        <v>142</v>
      </c>
      <c r="F7" s="29" t="s">
        <v>142</v>
      </c>
      <c r="G7" s="29"/>
      <c r="H7" s="29"/>
      <c r="I7" s="29" t="s">
        <v>151</v>
      </c>
      <c r="J7" s="29">
        <v>1</v>
      </c>
      <c r="K7" s="29" t="s">
        <v>145</v>
      </c>
    </row>
    <row r="8" spans="1:11" x14ac:dyDescent="0.3">
      <c r="A8" s="29" t="s">
        <v>157</v>
      </c>
      <c r="B8" s="30">
        <v>46119</v>
      </c>
      <c r="C8" s="29" t="s">
        <v>158</v>
      </c>
      <c r="D8" s="29" t="s">
        <v>142</v>
      </c>
      <c r="E8" s="29" t="s">
        <v>159</v>
      </c>
      <c r="F8" s="29" t="s">
        <v>188</v>
      </c>
      <c r="G8" s="29"/>
      <c r="H8" s="29"/>
      <c r="I8" s="29" t="s">
        <v>144</v>
      </c>
      <c r="J8" s="29">
        <v>1</v>
      </c>
      <c r="K8" s="29" t="s">
        <v>145</v>
      </c>
    </row>
    <row r="9" spans="1:11" x14ac:dyDescent="0.3">
      <c r="A9" s="29" t="s">
        <v>138</v>
      </c>
      <c r="B9" s="30">
        <v>46120</v>
      </c>
      <c r="C9" s="29" t="s">
        <v>160</v>
      </c>
      <c r="D9" s="29" t="s">
        <v>161</v>
      </c>
      <c r="E9" s="29" t="s">
        <v>142</v>
      </c>
      <c r="F9" s="29" t="s">
        <v>142</v>
      </c>
      <c r="G9" s="29" t="s">
        <v>255</v>
      </c>
      <c r="H9" s="29" t="s">
        <v>162</v>
      </c>
      <c r="I9" s="29" t="s">
        <v>151</v>
      </c>
      <c r="J9" s="29">
        <v>1</v>
      </c>
      <c r="K9" s="29" t="s">
        <v>145</v>
      </c>
    </row>
    <row r="10" spans="1:11" x14ac:dyDescent="0.3">
      <c r="A10" s="29" t="s">
        <v>146</v>
      </c>
      <c r="B10" s="30">
        <v>46121</v>
      </c>
      <c r="C10" s="29" t="s">
        <v>10</v>
      </c>
      <c r="D10" s="29" t="s">
        <v>142</v>
      </c>
      <c r="E10" s="29" t="s">
        <v>142</v>
      </c>
      <c r="F10" s="29" t="s">
        <v>163</v>
      </c>
      <c r="G10" s="29" t="s">
        <v>259</v>
      </c>
      <c r="H10" s="29" t="s">
        <v>164</v>
      </c>
      <c r="I10" s="29" t="s">
        <v>144</v>
      </c>
      <c r="J10" s="29">
        <v>1</v>
      </c>
      <c r="K10" s="29" t="s">
        <v>145</v>
      </c>
    </row>
    <row r="11" spans="1:11" x14ac:dyDescent="0.3">
      <c r="A11" s="29" t="s">
        <v>149</v>
      </c>
      <c r="B11" s="30">
        <v>46122</v>
      </c>
      <c r="C11" s="29" t="s">
        <v>165</v>
      </c>
      <c r="D11" s="29" t="s">
        <v>142</v>
      </c>
      <c r="E11" s="29" t="s">
        <v>142</v>
      </c>
      <c r="F11" s="29" t="s">
        <v>142</v>
      </c>
      <c r="G11" s="29"/>
      <c r="H11" s="29"/>
      <c r="I11" s="29" t="s">
        <v>144</v>
      </c>
      <c r="J11" s="29">
        <v>1</v>
      </c>
      <c r="K11" s="29" t="s">
        <v>145</v>
      </c>
    </row>
    <row r="12" spans="1:11" x14ac:dyDescent="0.3">
      <c r="A12" s="31" t="s">
        <v>152</v>
      </c>
      <c r="B12" s="32">
        <v>46123</v>
      </c>
      <c r="C12" s="31"/>
      <c r="D12" s="31"/>
      <c r="E12" s="31"/>
      <c r="F12" s="31"/>
      <c r="G12" s="31"/>
      <c r="H12" s="31"/>
      <c r="I12" s="31"/>
      <c r="J12" s="31"/>
      <c r="K12" s="31" t="s">
        <v>145</v>
      </c>
    </row>
    <row r="13" spans="1:11" x14ac:dyDescent="0.3">
      <c r="A13" s="31" t="s">
        <v>153</v>
      </c>
      <c r="B13" s="32">
        <v>46124</v>
      </c>
      <c r="C13" s="31"/>
      <c r="D13" s="31"/>
      <c r="E13" s="31"/>
      <c r="F13" s="31"/>
      <c r="G13" s="31"/>
      <c r="H13" s="31"/>
      <c r="I13" s="31"/>
      <c r="J13" s="31"/>
      <c r="K13" s="31" t="s">
        <v>145</v>
      </c>
    </row>
    <row r="14" spans="1:11" x14ac:dyDescent="0.3">
      <c r="A14" s="29" t="s">
        <v>154</v>
      </c>
      <c r="B14" s="30">
        <v>46125</v>
      </c>
      <c r="C14" s="29" t="s">
        <v>173</v>
      </c>
      <c r="D14" s="29" t="s">
        <v>188</v>
      </c>
      <c r="E14" s="29" t="s">
        <v>142</v>
      </c>
      <c r="F14" s="29" t="s">
        <v>188</v>
      </c>
      <c r="G14" s="29"/>
      <c r="H14" s="29"/>
      <c r="I14" s="29" t="s">
        <v>191</v>
      </c>
      <c r="J14" s="29">
        <v>1</v>
      </c>
      <c r="K14" s="29" t="s">
        <v>145</v>
      </c>
    </row>
    <row r="15" spans="1:11" x14ac:dyDescent="0.3">
      <c r="A15" s="29" t="s">
        <v>157</v>
      </c>
      <c r="B15" s="30">
        <v>46126</v>
      </c>
      <c r="C15" s="29" t="s">
        <v>167</v>
      </c>
      <c r="D15" s="29" t="s">
        <v>188</v>
      </c>
      <c r="E15" s="29" t="s">
        <v>168</v>
      </c>
      <c r="F15" s="29" t="s">
        <v>188</v>
      </c>
      <c r="G15" s="29"/>
      <c r="H15" s="29"/>
      <c r="I15" s="29" t="s">
        <v>78</v>
      </c>
      <c r="J15" s="29">
        <v>1</v>
      </c>
      <c r="K15" s="29" t="s">
        <v>145</v>
      </c>
    </row>
    <row r="16" spans="1:11" x14ac:dyDescent="0.3">
      <c r="A16" s="29" t="s">
        <v>138</v>
      </c>
      <c r="B16" s="30">
        <v>46127</v>
      </c>
      <c r="C16" s="29" t="s">
        <v>181</v>
      </c>
      <c r="D16" s="29" t="s">
        <v>175</v>
      </c>
      <c r="E16" s="29" t="s">
        <v>142</v>
      </c>
      <c r="F16" s="29" t="s">
        <v>188</v>
      </c>
      <c r="G16" s="29" t="s">
        <v>255</v>
      </c>
      <c r="H16" s="29" t="s">
        <v>176</v>
      </c>
      <c r="I16" s="29" t="s">
        <v>144</v>
      </c>
      <c r="J16" s="29">
        <v>1</v>
      </c>
      <c r="K16" s="29" t="s">
        <v>145</v>
      </c>
    </row>
    <row r="17" spans="1:11" x14ac:dyDescent="0.3">
      <c r="A17" s="29" t="s">
        <v>146</v>
      </c>
      <c r="B17" s="30">
        <v>46128</v>
      </c>
      <c r="C17" s="29" t="s">
        <v>171</v>
      </c>
      <c r="D17" s="29" t="s">
        <v>172</v>
      </c>
      <c r="E17" s="29" t="s">
        <v>142</v>
      </c>
      <c r="F17" s="29" t="s">
        <v>188</v>
      </c>
      <c r="G17" s="29"/>
      <c r="H17" s="29"/>
      <c r="I17" s="29" t="s">
        <v>191</v>
      </c>
      <c r="J17" s="29">
        <v>1</v>
      </c>
      <c r="K17" s="29" t="s">
        <v>145</v>
      </c>
    </row>
    <row r="18" spans="1:11" x14ac:dyDescent="0.3">
      <c r="A18" s="29" t="s">
        <v>149</v>
      </c>
      <c r="B18" s="30">
        <v>46129</v>
      </c>
      <c r="C18" s="29" t="s">
        <v>166</v>
      </c>
      <c r="D18" s="29" t="s">
        <v>188</v>
      </c>
      <c r="E18" s="29" t="s">
        <v>142</v>
      </c>
      <c r="F18" s="29" t="s">
        <v>188</v>
      </c>
      <c r="G18" s="29"/>
      <c r="H18" s="29" t="s">
        <v>143</v>
      </c>
      <c r="I18" s="29" t="s">
        <v>191</v>
      </c>
      <c r="J18" s="29">
        <v>1</v>
      </c>
      <c r="K18" s="29" t="s">
        <v>145</v>
      </c>
    </row>
    <row r="19" spans="1:11" x14ac:dyDescent="0.3">
      <c r="A19" s="31" t="s">
        <v>152</v>
      </c>
      <c r="B19" s="32">
        <v>46130</v>
      </c>
      <c r="C19" s="31"/>
      <c r="D19" s="31"/>
      <c r="E19" s="31"/>
      <c r="F19" s="31"/>
      <c r="G19" s="31"/>
      <c r="H19" s="31"/>
      <c r="I19" s="31"/>
      <c r="J19" s="31"/>
      <c r="K19" s="31" t="s">
        <v>145</v>
      </c>
    </row>
    <row r="20" spans="1:11" x14ac:dyDescent="0.3">
      <c r="A20" s="29" t="s">
        <v>153</v>
      </c>
      <c r="B20" s="30">
        <v>46131</v>
      </c>
      <c r="C20" s="29" t="s">
        <v>134</v>
      </c>
      <c r="D20" s="29" t="s">
        <v>188</v>
      </c>
      <c r="E20" s="29" t="s">
        <v>169</v>
      </c>
      <c r="F20" s="29" t="s">
        <v>188</v>
      </c>
      <c r="G20" s="29"/>
      <c r="H20" s="29"/>
      <c r="I20" s="29" t="s">
        <v>78</v>
      </c>
      <c r="J20" s="29">
        <v>1</v>
      </c>
      <c r="K20" s="29" t="s">
        <v>145</v>
      </c>
    </row>
    <row r="21" spans="1:11" x14ac:dyDescent="0.3">
      <c r="A21" s="29" t="s">
        <v>154</v>
      </c>
      <c r="B21" s="30">
        <v>46132</v>
      </c>
      <c r="C21" s="29" t="s">
        <v>180</v>
      </c>
      <c r="D21" s="29" t="s">
        <v>187</v>
      </c>
      <c r="E21" s="29" t="s">
        <v>142</v>
      </c>
      <c r="F21" s="29" t="s">
        <v>188</v>
      </c>
      <c r="G21" s="29" t="s">
        <v>256</v>
      </c>
      <c r="H21" s="29" t="s">
        <v>185</v>
      </c>
      <c r="I21" s="29" t="s">
        <v>144</v>
      </c>
      <c r="J21" s="29">
        <v>1</v>
      </c>
      <c r="K21" s="29" t="s">
        <v>145</v>
      </c>
    </row>
    <row r="22" spans="1:11" x14ac:dyDescent="0.3">
      <c r="A22" s="29" t="s">
        <v>157</v>
      </c>
      <c r="B22" s="30">
        <v>46133</v>
      </c>
      <c r="C22" s="29" t="s">
        <v>155</v>
      </c>
      <c r="D22" s="29" t="s">
        <v>186</v>
      </c>
      <c r="E22" s="29" t="s">
        <v>142</v>
      </c>
      <c r="F22" s="29" t="s">
        <v>188</v>
      </c>
      <c r="G22" s="29"/>
      <c r="H22" s="29"/>
      <c r="I22" s="29" t="s">
        <v>191</v>
      </c>
      <c r="J22" s="29">
        <v>1</v>
      </c>
      <c r="K22" s="29" t="s">
        <v>145</v>
      </c>
    </row>
    <row r="23" spans="1:11" x14ac:dyDescent="0.3">
      <c r="A23" s="29" t="s">
        <v>138</v>
      </c>
      <c r="B23" s="30">
        <v>46134</v>
      </c>
      <c r="C23" s="29" t="s">
        <v>174</v>
      </c>
      <c r="D23" s="29" t="s">
        <v>188</v>
      </c>
      <c r="E23" s="29" t="s">
        <v>170</v>
      </c>
      <c r="F23" s="29" t="s">
        <v>188</v>
      </c>
      <c r="G23" s="29"/>
      <c r="H23" s="29"/>
      <c r="I23" s="29" t="s">
        <v>79</v>
      </c>
      <c r="J23" s="29">
        <v>1</v>
      </c>
      <c r="K23" s="29" t="s">
        <v>145</v>
      </c>
    </row>
    <row r="24" spans="1:11" x14ac:dyDescent="0.3">
      <c r="A24" s="29" t="s">
        <v>146</v>
      </c>
      <c r="B24" s="30">
        <v>46135</v>
      </c>
      <c r="C24" s="29" t="s">
        <v>182</v>
      </c>
      <c r="D24" s="29" t="s">
        <v>188</v>
      </c>
      <c r="E24" s="29" t="s">
        <v>142</v>
      </c>
      <c r="F24" s="29" t="s">
        <v>188</v>
      </c>
      <c r="G24" s="29"/>
      <c r="H24" s="29"/>
      <c r="I24" s="29" t="s">
        <v>144</v>
      </c>
      <c r="J24" s="29">
        <v>1</v>
      </c>
      <c r="K24" s="29" t="s">
        <v>145</v>
      </c>
    </row>
    <row r="25" spans="1:11" x14ac:dyDescent="0.3">
      <c r="A25" s="29" t="s">
        <v>149</v>
      </c>
      <c r="B25" s="30">
        <v>46136</v>
      </c>
      <c r="C25" s="29" t="s">
        <v>166</v>
      </c>
      <c r="D25" s="29" t="s">
        <v>188</v>
      </c>
      <c r="E25" s="29" t="s">
        <v>142</v>
      </c>
      <c r="F25" s="29" t="s">
        <v>188</v>
      </c>
      <c r="G25" s="29"/>
      <c r="H25" s="29" t="s">
        <v>143</v>
      </c>
      <c r="I25" s="29" t="s">
        <v>144</v>
      </c>
      <c r="J25" s="29">
        <v>1</v>
      </c>
      <c r="K25" s="29" t="s">
        <v>145</v>
      </c>
    </row>
    <row r="26" spans="1:11" x14ac:dyDescent="0.3">
      <c r="A26" s="31" t="s">
        <v>152</v>
      </c>
      <c r="B26" s="32">
        <v>46137</v>
      </c>
      <c r="C26" s="31"/>
      <c r="D26" s="31"/>
      <c r="E26" s="31"/>
      <c r="F26" s="31"/>
      <c r="G26" s="31"/>
      <c r="H26" s="31"/>
      <c r="I26" s="31"/>
      <c r="J26" s="31"/>
      <c r="K26" s="31" t="s">
        <v>145</v>
      </c>
    </row>
    <row r="27" spans="1:11" x14ac:dyDescent="0.3">
      <c r="A27" s="31" t="s">
        <v>153</v>
      </c>
      <c r="B27" s="32">
        <v>46138</v>
      </c>
      <c r="C27" s="31"/>
      <c r="D27" s="31"/>
      <c r="E27" s="31"/>
      <c r="F27" s="31"/>
      <c r="G27" s="31"/>
      <c r="H27" s="31"/>
      <c r="I27" s="31"/>
      <c r="J27" s="31"/>
      <c r="K27" s="31" t="s">
        <v>145</v>
      </c>
    </row>
    <row r="28" spans="1:11" x14ac:dyDescent="0.3">
      <c r="A28" s="29" t="s">
        <v>154</v>
      </c>
      <c r="B28" s="30">
        <v>46139</v>
      </c>
      <c r="C28" s="29" t="s">
        <v>179</v>
      </c>
      <c r="D28" s="29" t="s">
        <v>183</v>
      </c>
      <c r="E28" s="29" t="s">
        <v>188</v>
      </c>
      <c r="F28" s="29" t="s">
        <v>188</v>
      </c>
      <c r="G28" s="29"/>
      <c r="H28" s="29" t="s">
        <v>143</v>
      </c>
      <c r="I28" s="29" t="s">
        <v>144</v>
      </c>
      <c r="J28" s="29">
        <v>1</v>
      </c>
      <c r="K28" s="29" t="s">
        <v>145</v>
      </c>
    </row>
    <row r="29" spans="1:11" x14ac:dyDescent="0.3">
      <c r="A29" s="29" t="s">
        <v>157</v>
      </c>
      <c r="B29" s="30">
        <v>46140</v>
      </c>
      <c r="C29" s="29" t="s">
        <v>177</v>
      </c>
      <c r="D29" s="29" t="s">
        <v>188</v>
      </c>
      <c r="E29" s="29" t="s">
        <v>188</v>
      </c>
      <c r="F29" s="29" t="s">
        <v>190</v>
      </c>
      <c r="G29" s="29" t="s">
        <v>258</v>
      </c>
      <c r="H29" s="29" t="s">
        <v>189</v>
      </c>
      <c r="I29" s="29" t="s">
        <v>191</v>
      </c>
      <c r="J29" s="29">
        <v>1</v>
      </c>
      <c r="K29" s="29" t="s">
        <v>145</v>
      </c>
    </row>
    <row r="30" spans="1:11" x14ac:dyDescent="0.3">
      <c r="A30" s="29" t="s">
        <v>138</v>
      </c>
      <c r="B30" s="30">
        <v>46141</v>
      </c>
      <c r="C30" s="29" t="s">
        <v>178</v>
      </c>
      <c r="D30" s="29" t="s">
        <v>188</v>
      </c>
      <c r="E30" s="29" t="s">
        <v>188</v>
      </c>
      <c r="F30" s="29" t="s">
        <v>188</v>
      </c>
      <c r="G30" s="29"/>
      <c r="H30" s="29"/>
      <c r="I30" s="29" t="s">
        <v>191</v>
      </c>
      <c r="J30" s="29">
        <v>1</v>
      </c>
      <c r="K30" s="29" t="s">
        <v>145</v>
      </c>
    </row>
    <row r="31" spans="1:11" x14ac:dyDescent="0.3">
      <c r="A31" s="29" t="s">
        <v>146</v>
      </c>
      <c r="B31" s="30">
        <v>46142</v>
      </c>
      <c r="C31" s="29" t="s">
        <v>179</v>
      </c>
      <c r="D31" s="29" t="s">
        <v>184</v>
      </c>
      <c r="E31" s="29" t="s">
        <v>188</v>
      </c>
      <c r="F31" s="29" t="s">
        <v>188</v>
      </c>
      <c r="G31" s="29" t="s">
        <v>257</v>
      </c>
      <c r="H31" s="29" t="s">
        <v>143</v>
      </c>
      <c r="I31" s="29" t="s">
        <v>144</v>
      </c>
      <c r="J31" s="29">
        <v>1</v>
      </c>
      <c r="K31" s="29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6DBE-3EEA-41D3-93B2-E20CF5F8E8D6}">
  <dimension ref="A1:K31"/>
  <sheetViews>
    <sheetView zoomScale="76" zoomScaleNormal="130" workbookViewId="0">
      <selection activeCell="C2" sqref="C2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43" bestFit="1" customWidth="1"/>
    <col min="4" max="4" width="38.6640625" bestFit="1" customWidth="1"/>
    <col min="5" max="5" width="24.6640625" bestFit="1" customWidth="1"/>
    <col min="6" max="6" width="20.21875" bestFit="1" customWidth="1"/>
    <col min="7" max="7" width="49.6640625" bestFit="1" customWidth="1"/>
    <col min="8" max="8" width="19.21875" customWidth="1"/>
    <col min="9" max="9" width="16.33203125" bestFit="1" customWidth="1"/>
    <col min="10" max="10" width="11.5546875" bestFit="1" customWidth="1"/>
    <col min="11" max="11" width="10.33203125" bestFit="1" customWidth="1"/>
  </cols>
  <sheetData>
    <row r="1" spans="1:11" ht="18" x14ac:dyDescent="0.35">
      <c r="A1" s="28" t="s">
        <v>131</v>
      </c>
      <c r="B1" s="28" t="s">
        <v>132</v>
      </c>
      <c r="C1" s="28" t="s">
        <v>67</v>
      </c>
      <c r="D1" s="28" t="s">
        <v>133</v>
      </c>
      <c r="E1" s="28" t="s">
        <v>134</v>
      </c>
      <c r="F1" s="28" t="s">
        <v>135</v>
      </c>
      <c r="G1" s="37" t="s">
        <v>197</v>
      </c>
      <c r="H1" s="28" t="s">
        <v>136</v>
      </c>
      <c r="I1" s="28" t="s">
        <v>9</v>
      </c>
      <c r="J1" s="28" t="s">
        <v>137</v>
      </c>
      <c r="K1" s="28" t="s">
        <v>8</v>
      </c>
    </row>
    <row r="2" spans="1:11" x14ac:dyDescent="0.3">
      <c r="A2" s="29" t="s">
        <v>138</v>
      </c>
      <c r="B2" s="30">
        <v>46113</v>
      </c>
      <c r="C2" s="29" t="s">
        <v>139</v>
      </c>
      <c r="D2" s="29" t="s">
        <v>140</v>
      </c>
      <c r="E2" s="29" t="s">
        <v>141</v>
      </c>
      <c r="F2" s="29" t="s">
        <v>142</v>
      </c>
      <c r="G2" s="29"/>
      <c r="H2" s="29"/>
      <c r="I2" s="29" t="s">
        <v>144</v>
      </c>
      <c r="J2" s="29">
        <v>1</v>
      </c>
      <c r="K2" s="29" t="s">
        <v>145</v>
      </c>
    </row>
    <row r="3" spans="1:11" x14ac:dyDescent="0.3">
      <c r="A3" s="29" t="s">
        <v>146</v>
      </c>
      <c r="B3" s="30">
        <v>46114</v>
      </c>
      <c r="C3" s="29" t="s">
        <v>147</v>
      </c>
      <c r="D3" s="29" t="s">
        <v>148</v>
      </c>
      <c r="E3" s="29" t="s">
        <v>188</v>
      </c>
      <c r="F3" s="29" t="s">
        <v>188</v>
      </c>
      <c r="G3" s="29"/>
      <c r="H3" s="29"/>
      <c r="I3" s="29" t="s">
        <v>144</v>
      </c>
      <c r="J3" s="29">
        <v>1</v>
      </c>
      <c r="K3" s="29" t="s">
        <v>145</v>
      </c>
    </row>
    <row r="4" spans="1:11" x14ac:dyDescent="0.3">
      <c r="A4" s="29" t="s">
        <v>149</v>
      </c>
      <c r="B4" s="30">
        <v>46115</v>
      </c>
      <c r="C4" s="29" t="s">
        <v>150</v>
      </c>
      <c r="D4" s="29" t="s">
        <v>142</v>
      </c>
      <c r="E4" s="29" t="s">
        <v>188</v>
      </c>
      <c r="F4" s="29" t="s">
        <v>188</v>
      </c>
      <c r="G4" s="29"/>
      <c r="H4" s="29"/>
      <c r="I4" s="29" t="s">
        <v>151</v>
      </c>
      <c r="J4" s="29">
        <v>2</v>
      </c>
      <c r="K4" s="29" t="s">
        <v>145</v>
      </c>
    </row>
    <row r="5" spans="1:11" x14ac:dyDescent="0.3">
      <c r="A5" s="31" t="s">
        <v>152</v>
      </c>
      <c r="B5" s="32">
        <v>46116</v>
      </c>
      <c r="C5" s="31"/>
      <c r="D5" s="31"/>
      <c r="E5" s="31"/>
      <c r="F5" s="31"/>
      <c r="G5" s="31"/>
      <c r="H5" s="31"/>
      <c r="I5" s="31"/>
      <c r="J5" s="31"/>
      <c r="K5" s="31" t="s">
        <v>145</v>
      </c>
    </row>
    <row r="6" spans="1:11" x14ac:dyDescent="0.3">
      <c r="A6" s="31" t="s">
        <v>153</v>
      </c>
      <c r="B6" s="32">
        <v>46117</v>
      </c>
      <c r="C6" s="31"/>
      <c r="D6" s="31"/>
      <c r="E6" s="31"/>
      <c r="F6" s="31"/>
      <c r="G6" s="31"/>
      <c r="H6" s="31"/>
      <c r="I6" s="31"/>
      <c r="J6" s="31"/>
      <c r="K6" s="31" t="s">
        <v>145</v>
      </c>
    </row>
    <row r="7" spans="1:11" x14ac:dyDescent="0.3">
      <c r="A7" s="29" t="s">
        <v>154</v>
      </c>
      <c r="B7" s="30">
        <v>46118</v>
      </c>
      <c r="C7" s="29" t="s">
        <v>155</v>
      </c>
      <c r="D7" s="29" t="s">
        <v>156</v>
      </c>
      <c r="E7" s="29" t="s">
        <v>142</v>
      </c>
      <c r="F7" s="29" t="s">
        <v>142</v>
      </c>
      <c r="G7" s="29"/>
      <c r="H7" s="29"/>
      <c r="I7" s="29" t="s">
        <v>151</v>
      </c>
      <c r="J7" s="29">
        <v>1</v>
      </c>
      <c r="K7" s="29" t="s">
        <v>145</v>
      </c>
    </row>
    <row r="8" spans="1:11" x14ac:dyDescent="0.3">
      <c r="A8" s="29" t="s">
        <v>157</v>
      </c>
      <c r="B8" s="30">
        <v>46119</v>
      </c>
      <c r="C8" s="29" t="s">
        <v>158</v>
      </c>
      <c r="D8" s="29" t="s">
        <v>142</v>
      </c>
      <c r="E8" s="29" t="s">
        <v>159</v>
      </c>
      <c r="F8" s="29" t="s">
        <v>188</v>
      </c>
      <c r="G8" s="29"/>
      <c r="H8" s="29"/>
      <c r="I8" s="29" t="s">
        <v>144</v>
      </c>
      <c r="J8" s="29">
        <v>1</v>
      </c>
      <c r="K8" s="29" t="s">
        <v>145</v>
      </c>
    </row>
    <row r="9" spans="1:11" x14ac:dyDescent="0.3">
      <c r="A9" s="29" t="s">
        <v>138</v>
      </c>
      <c r="B9" s="30">
        <v>46120</v>
      </c>
      <c r="C9" s="29" t="s">
        <v>160</v>
      </c>
      <c r="D9" s="29" t="s">
        <v>161</v>
      </c>
      <c r="E9" s="29" t="s">
        <v>142</v>
      </c>
      <c r="F9" s="29" t="s">
        <v>142</v>
      </c>
      <c r="G9" s="29" t="s">
        <v>255</v>
      </c>
      <c r="H9" s="29" t="s">
        <v>162</v>
      </c>
      <c r="I9" s="29" t="s">
        <v>151</v>
      </c>
      <c r="J9" s="29">
        <v>1</v>
      </c>
      <c r="K9" s="29" t="s">
        <v>145</v>
      </c>
    </row>
    <row r="10" spans="1:11" x14ac:dyDescent="0.3">
      <c r="A10" s="29" t="s">
        <v>146</v>
      </c>
      <c r="B10" s="30">
        <v>46121</v>
      </c>
      <c r="C10" s="29" t="s">
        <v>10</v>
      </c>
      <c r="D10" s="29" t="s">
        <v>142</v>
      </c>
      <c r="E10" s="29" t="s">
        <v>142</v>
      </c>
      <c r="F10" s="29" t="s">
        <v>163</v>
      </c>
      <c r="G10" s="29" t="s">
        <v>259</v>
      </c>
      <c r="H10" s="29" t="s">
        <v>164</v>
      </c>
      <c r="I10" s="29" t="s">
        <v>144</v>
      </c>
      <c r="J10" s="29">
        <v>1</v>
      </c>
      <c r="K10" s="29" t="s">
        <v>145</v>
      </c>
    </row>
    <row r="11" spans="1:11" x14ac:dyDescent="0.3">
      <c r="A11" s="29" t="s">
        <v>149</v>
      </c>
      <c r="B11" s="30">
        <v>46122</v>
      </c>
      <c r="C11" s="29" t="s">
        <v>165</v>
      </c>
      <c r="D11" s="29" t="s">
        <v>142</v>
      </c>
      <c r="E11" s="29" t="s">
        <v>142</v>
      </c>
      <c r="F11" s="29" t="s">
        <v>142</v>
      </c>
      <c r="G11" s="29"/>
      <c r="H11" s="29"/>
      <c r="I11" s="29" t="s">
        <v>144</v>
      </c>
      <c r="J11" s="29">
        <v>1</v>
      </c>
      <c r="K11" s="29" t="s">
        <v>145</v>
      </c>
    </row>
    <row r="12" spans="1:11" x14ac:dyDescent="0.3">
      <c r="A12" s="31" t="s">
        <v>152</v>
      </c>
      <c r="B12" s="32">
        <v>46123</v>
      </c>
      <c r="C12" s="31"/>
      <c r="D12" s="31"/>
      <c r="E12" s="31"/>
      <c r="F12" s="31"/>
      <c r="G12" s="31"/>
      <c r="H12" s="31"/>
      <c r="I12" s="31"/>
      <c r="J12" s="31"/>
      <c r="K12" s="31" t="s">
        <v>145</v>
      </c>
    </row>
    <row r="13" spans="1:11" x14ac:dyDescent="0.3">
      <c r="A13" s="31" t="s">
        <v>153</v>
      </c>
      <c r="B13" s="32">
        <v>46124</v>
      </c>
      <c r="C13" s="31"/>
      <c r="D13" s="31"/>
      <c r="E13" s="31"/>
      <c r="F13" s="31"/>
      <c r="G13" s="31"/>
      <c r="H13" s="31"/>
      <c r="I13" s="31"/>
      <c r="J13" s="31"/>
      <c r="K13" s="31" t="s">
        <v>145</v>
      </c>
    </row>
    <row r="14" spans="1:11" x14ac:dyDescent="0.3">
      <c r="A14" s="29" t="s">
        <v>154</v>
      </c>
      <c r="B14" s="30">
        <v>46125</v>
      </c>
      <c r="C14" s="29" t="s">
        <v>173</v>
      </c>
      <c r="D14" s="29" t="s">
        <v>188</v>
      </c>
      <c r="E14" s="29" t="s">
        <v>142</v>
      </c>
      <c r="F14" s="29" t="s">
        <v>188</v>
      </c>
      <c r="G14" s="29"/>
      <c r="H14" s="29"/>
      <c r="I14" s="29" t="s">
        <v>191</v>
      </c>
      <c r="J14" s="29">
        <v>1</v>
      </c>
      <c r="K14" s="29" t="s">
        <v>145</v>
      </c>
    </row>
    <row r="15" spans="1:11" x14ac:dyDescent="0.3">
      <c r="A15" s="29" t="s">
        <v>157</v>
      </c>
      <c r="B15" s="30">
        <v>46126</v>
      </c>
      <c r="C15" s="29" t="s">
        <v>167</v>
      </c>
      <c r="D15" s="29" t="s">
        <v>188</v>
      </c>
      <c r="E15" s="29" t="s">
        <v>168</v>
      </c>
      <c r="F15" s="29" t="s">
        <v>188</v>
      </c>
      <c r="G15" s="29"/>
      <c r="H15" s="29"/>
      <c r="I15" s="29" t="s">
        <v>78</v>
      </c>
      <c r="J15" s="29">
        <v>1</v>
      </c>
      <c r="K15" s="29" t="s">
        <v>145</v>
      </c>
    </row>
    <row r="16" spans="1:11" x14ac:dyDescent="0.3">
      <c r="A16" s="29" t="s">
        <v>138</v>
      </c>
      <c r="B16" s="30">
        <v>46127</v>
      </c>
      <c r="C16" s="29" t="s">
        <v>181</v>
      </c>
      <c r="D16" s="29" t="s">
        <v>175</v>
      </c>
      <c r="E16" s="29" t="s">
        <v>142</v>
      </c>
      <c r="F16" s="29" t="s">
        <v>188</v>
      </c>
      <c r="G16" s="29" t="s">
        <v>255</v>
      </c>
      <c r="H16" s="29" t="s">
        <v>176</v>
      </c>
      <c r="I16" s="29" t="s">
        <v>144</v>
      </c>
      <c r="J16" s="29">
        <v>1</v>
      </c>
      <c r="K16" s="29" t="s">
        <v>145</v>
      </c>
    </row>
    <row r="17" spans="1:11" x14ac:dyDescent="0.3">
      <c r="A17" s="29" t="s">
        <v>146</v>
      </c>
      <c r="B17" s="30">
        <v>46128</v>
      </c>
      <c r="C17" s="29" t="s">
        <v>171</v>
      </c>
      <c r="D17" s="29" t="s">
        <v>172</v>
      </c>
      <c r="E17" s="29" t="s">
        <v>142</v>
      </c>
      <c r="F17" s="29" t="s">
        <v>188</v>
      </c>
      <c r="G17" s="29"/>
      <c r="H17" s="29"/>
      <c r="I17" s="29" t="s">
        <v>191</v>
      </c>
      <c r="J17" s="29">
        <v>1</v>
      </c>
      <c r="K17" s="29" t="s">
        <v>145</v>
      </c>
    </row>
    <row r="18" spans="1:11" x14ac:dyDescent="0.3">
      <c r="A18" s="29" t="s">
        <v>149</v>
      </c>
      <c r="B18" s="30">
        <v>46129</v>
      </c>
      <c r="C18" s="29" t="s">
        <v>166</v>
      </c>
      <c r="D18" s="29" t="s">
        <v>188</v>
      </c>
      <c r="E18" s="29" t="s">
        <v>142</v>
      </c>
      <c r="F18" s="29" t="s">
        <v>188</v>
      </c>
      <c r="G18" s="29"/>
      <c r="H18" s="29" t="s">
        <v>143</v>
      </c>
      <c r="I18" s="29" t="s">
        <v>191</v>
      </c>
      <c r="J18" s="29">
        <v>1</v>
      </c>
      <c r="K18" s="29" t="s">
        <v>145</v>
      </c>
    </row>
    <row r="19" spans="1:11" x14ac:dyDescent="0.3">
      <c r="A19" s="31" t="s">
        <v>152</v>
      </c>
      <c r="B19" s="32">
        <v>46130</v>
      </c>
      <c r="C19" s="31"/>
      <c r="D19" s="31"/>
      <c r="E19" s="31"/>
      <c r="F19" s="31"/>
      <c r="G19" s="31"/>
      <c r="H19" s="31"/>
      <c r="I19" s="31"/>
      <c r="J19" s="31"/>
      <c r="K19" s="31" t="s">
        <v>145</v>
      </c>
    </row>
    <row r="20" spans="1:11" x14ac:dyDescent="0.3">
      <c r="A20" s="29" t="s">
        <v>153</v>
      </c>
      <c r="B20" s="30">
        <v>46131</v>
      </c>
      <c r="C20" s="29" t="s">
        <v>134</v>
      </c>
      <c r="D20" s="29" t="s">
        <v>188</v>
      </c>
      <c r="E20" s="29" t="s">
        <v>169</v>
      </c>
      <c r="F20" s="29" t="s">
        <v>188</v>
      </c>
      <c r="G20" s="29"/>
      <c r="H20" s="29"/>
      <c r="I20" s="29" t="s">
        <v>78</v>
      </c>
      <c r="J20" s="29">
        <v>1</v>
      </c>
      <c r="K20" s="29" t="s">
        <v>145</v>
      </c>
    </row>
    <row r="21" spans="1:11" x14ac:dyDescent="0.3">
      <c r="A21" s="29" t="s">
        <v>154</v>
      </c>
      <c r="B21" s="30">
        <v>46132</v>
      </c>
      <c r="C21" s="29" t="s">
        <v>180</v>
      </c>
      <c r="D21" s="29" t="s">
        <v>187</v>
      </c>
      <c r="E21" s="29" t="s">
        <v>142</v>
      </c>
      <c r="F21" s="29" t="s">
        <v>188</v>
      </c>
      <c r="G21" s="29" t="s">
        <v>256</v>
      </c>
      <c r="H21" s="29" t="s">
        <v>185</v>
      </c>
      <c r="I21" s="29" t="s">
        <v>144</v>
      </c>
      <c r="J21" s="29">
        <v>1</v>
      </c>
      <c r="K21" s="29" t="s">
        <v>145</v>
      </c>
    </row>
    <row r="22" spans="1:11" x14ac:dyDescent="0.3">
      <c r="A22" s="29" t="s">
        <v>157</v>
      </c>
      <c r="B22" s="30">
        <v>46133</v>
      </c>
      <c r="C22" s="29" t="s">
        <v>155</v>
      </c>
      <c r="D22" s="29" t="s">
        <v>186</v>
      </c>
      <c r="E22" s="29" t="s">
        <v>142</v>
      </c>
      <c r="F22" s="29" t="s">
        <v>188</v>
      </c>
      <c r="G22" s="29"/>
      <c r="H22" s="29"/>
      <c r="I22" s="29" t="s">
        <v>191</v>
      </c>
      <c r="J22" s="29">
        <v>1</v>
      </c>
      <c r="K22" s="29" t="s">
        <v>145</v>
      </c>
    </row>
    <row r="23" spans="1:11" x14ac:dyDescent="0.3">
      <c r="A23" s="29" t="s">
        <v>138</v>
      </c>
      <c r="B23" s="30">
        <v>46134</v>
      </c>
      <c r="C23" s="29" t="s">
        <v>174</v>
      </c>
      <c r="D23" s="29" t="s">
        <v>188</v>
      </c>
      <c r="E23" s="29" t="s">
        <v>170</v>
      </c>
      <c r="F23" s="29" t="s">
        <v>188</v>
      </c>
      <c r="G23" s="29"/>
      <c r="H23" s="29"/>
      <c r="I23" s="29" t="s">
        <v>79</v>
      </c>
      <c r="J23" s="29">
        <v>1</v>
      </c>
      <c r="K23" s="29" t="s">
        <v>145</v>
      </c>
    </row>
    <row r="24" spans="1:11" x14ac:dyDescent="0.3">
      <c r="A24" s="29" t="s">
        <v>146</v>
      </c>
      <c r="B24" s="30">
        <v>46135</v>
      </c>
      <c r="C24" s="29" t="s">
        <v>182</v>
      </c>
      <c r="D24" s="29" t="s">
        <v>188</v>
      </c>
      <c r="E24" s="29" t="s">
        <v>142</v>
      </c>
      <c r="F24" s="29" t="s">
        <v>188</v>
      </c>
      <c r="G24" s="29"/>
      <c r="H24" s="29"/>
      <c r="I24" s="29" t="s">
        <v>144</v>
      </c>
      <c r="J24" s="29">
        <v>1</v>
      </c>
      <c r="K24" s="29" t="s">
        <v>145</v>
      </c>
    </row>
    <row r="25" spans="1:11" x14ac:dyDescent="0.3">
      <c r="A25" s="29" t="s">
        <v>149</v>
      </c>
      <c r="B25" s="30">
        <v>46136</v>
      </c>
      <c r="C25" s="29" t="s">
        <v>166</v>
      </c>
      <c r="D25" s="29" t="s">
        <v>188</v>
      </c>
      <c r="E25" s="29" t="s">
        <v>142</v>
      </c>
      <c r="F25" s="29" t="s">
        <v>188</v>
      </c>
      <c r="G25" s="29"/>
      <c r="H25" s="29" t="s">
        <v>143</v>
      </c>
      <c r="I25" s="29" t="s">
        <v>144</v>
      </c>
      <c r="J25" s="29">
        <v>1</v>
      </c>
      <c r="K25" s="29" t="s">
        <v>145</v>
      </c>
    </row>
    <row r="26" spans="1:11" x14ac:dyDescent="0.3">
      <c r="A26" s="31" t="s">
        <v>152</v>
      </c>
      <c r="B26" s="32">
        <v>46137</v>
      </c>
      <c r="C26" s="31"/>
      <c r="D26" s="31"/>
      <c r="E26" s="31"/>
      <c r="F26" s="31"/>
      <c r="G26" s="31"/>
      <c r="H26" s="31"/>
      <c r="I26" s="31"/>
      <c r="J26" s="31"/>
      <c r="K26" s="31" t="s">
        <v>145</v>
      </c>
    </row>
    <row r="27" spans="1:11" x14ac:dyDescent="0.3">
      <c r="A27" s="31" t="s">
        <v>153</v>
      </c>
      <c r="B27" s="32">
        <v>46138</v>
      </c>
      <c r="C27" s="31"/>
      <c r="D27" s="31"/>
      <c r="E27" s="31"/>
      <c r="F27" s="31"/>
      <c r="G27" s="31"/>
      <c r="H27" s="31"/>
      <c r="I27" s="31"/>
      <c r="J27" s="31"/>
      <c r="K27" s="31" t="s">
        <v>145</v>
      </c>
    </row>
    <row r="28" spans="1:11" x14ac:dyDescent="0.3">
      <c r="A28" s="29" t="s">
        <v>154</v>
      </c>
      <c r="B28" s="30">
        <v>46139</v>
      </c>
      <c r="C28" s="29" t="s">
        <v>179</v>
      </c>
      <c r="D28" s="29" t="s">
        <v>183</v>
      </c>
      <c r="E28" s="29" t="s">
        <v>188</v>
      </c>
      <c r="F28" s="29" t="s">
        <v>188</v>
      </c>
      <c r="G28" s="29"/>
      <c r="H28" s="29" t="s">
        <v>143</v>
      </c>
      <c r="I28" s="29" t="s">
        <v>144</v>
      </c>
      <c r="J28" s="29">
        <v>1</v>
      </c>
      <c r="K28" s="29" t="s">
        <v>145</v>
      </c>
    </row>
    <row r="29" spans="1:11" x14ac:dyDescent="0.3">
      <c r="A29" s="29" t="s">
        <v>157</v>
      </c>
      <c r="B29" s="30">
        <v>46140</v>
      </c>
      <c r="C29" s="29" t="s">
        <v>177</v>
      </c>
      <c r="D29" s="29" t="s">
        <v>188</v>
      </c>
      <c r="E29" s="29" t="s">
        <v>188</v>
      </c>
      <c r="F29" s="29" t="s">
        <v>190</v>
      </c>
      <c r="G29" s="29" t="s">
        <v>258</v>
      </c>
      <c r="H29" s="29" t="s">
        <v>189</v>
      </c>
      <c r="I29" s="29" t="s">
        <v>191</v>
      </c>
      <c r="J29" s="29">
        <v>1</v>
      </c>
      <c r="K29" s="29" t="s">
        <v>145</v>
      </c>
    </row>
    <row r="30" spans="1:11" x14ac:dyDescent="0.3">
      <c r="A30" s="29" t="s">
        <v>138</v>
      </c>
      <c r="B30" s="30">
        <v>46141</v>
      </c>
      <c r="C30" s="29" t="s">
        <v>178</v>
      </c>
      <c r="D30" s="29" t="s">
        <v>188</v>
      </c>
      <c r="E30" s="29" t="s">
        <v>188</v>
      </c>
      <c r="F30" s="29" t="s">
        <v>188</v>
      </c>
      <c r="G30" s="29"/>
      <c r="H30" s="29"/>
      <c r="I30" s="29" t="s">
        <v>191</v>
      </c>
      <c r="J30" s="29">
        <v>1</v>
      </c>
      <c r="K30" s="29" t="s">
        <v>145</v>
      </c>
    </row>
    <row r="31" spans="1:11" x14ac:dyDescent="0.3">
      <c r="A31" s="29" t="s">
        <v>146</v>
      </c>
      <c r="B31" s="30">
        <v>46142</v>
      </c>
      <c r="C31" s="29" t="s">
        <v>179</v>
      </c>
      <c r="D31" s="29" t="s">
        <v>184</v>
      </c>
      <c r="E31" s="29" t="s">
        <v>188</v>
      </c>
      <c r="F31" s="29" t="s">
        <v>188</v>
      </c>
      <c r="G31" s="29" t="s">
        <v>257</v>
      </c>
      <c r="H31" s="29" t="s">
        <v>143</v>
      </c>
      <c r="I31" s="29" t="s">
        <v>144</v>
      </c>
      <c r="J31" s="29">
        <v>1</v>
      </c>
      <c r="K31" s="29" t="s">
        <v>145</v>
      </c>
    </row>
  </sheetData>
  <phoneticPr fontId="1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8E0C8224B8554B984A438B5BBAC902" ma:contentTypeVersion="5" ma:contentTypeDescription="Create a new document." ma:contentTypeScope="" ma:versionID="d36f055e1ae946d7aca34bd1d87af5e8">
  <xsd:schema xmlns:xsd="http://www.w3.org/2001/XMLSchema" xmlns:xs="http://www.w3.org/2001/XMLSchema" xmlns:p="http://schemas.microsoft.com/office/2006/metadata/properties" xmlns:ns3="71ed08b1-10cc-4ae5-8056-b8e8e41b2e6a" targetNamespace="http://schemas.microsoft.com/office/2006/metadata/properties" ma:root="true" ma:fieldsID="ccb1f66df91f501e78dd0b5d78a5b700" ns3:_="">
    <xsd:import namespace="71ed08b1-10cc-4ae5-8056-b8e8e41b2e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d08b1-10cc-4ae5-8056-b8e8e41b2e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ed08b1-10cc-4ae5-8056-b8e8e41b2e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1582DF-B25E-4FD9-9EC6-76631142F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d08b1-10cc-4ae5-8056-b8e8e41b2e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342E7F-5890-4F5B-AE7C-670BADF32ED2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71ed08b1-10cc-4ae5-8056-b8e8e41b2e6a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52098F6-FBB1-41C2-939F-A3790984AF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Instagram April</vt:lpstr>
      <vt:lpstr>Facebook April</vt:lpstr>
      <vt:lpstr>Youtube april</vt:lpstr>
      <vt:lpstr>instagram may</vt:lpstr>
      <vt:lpstr>Facebook may</vt:lpstr>
      <vt:lpstr>HDFC Life planning facebook</vt:lpstr>
      <vt:lpstr>HDFC LIfe planning instagram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Panwar</dc:creator>
  <cp:keywords/>
  <dc:description/>
  <cp:lastModifiedBy>Ayush Panwar</cp:lastModifiedBy>
  <cp:revision/>
  <cp:lastPrinted>2026-05-13T12:31:36Z</cp:lastPrinted>
  <dcterms:created xsi:type="dcterms:W3CDTF">2026-05-08T10:03:53Z</dcterms:created>
  <dcterms:modified xsi:type="dcterms:W3CDTF">2026-05-27T12:40:54Z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0x010100628E0C8224B8554B984A438B5BBAC902</vt:lpwstr>
  </property>
</Properties>
</file>